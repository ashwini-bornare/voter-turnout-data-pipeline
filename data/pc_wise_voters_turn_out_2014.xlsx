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<sst xmlns="http://schemas.openxmlformats.org/spreadsheetml/2006/main" count="593" uniqueCount="582">
  <si>
    <t xml:space="preserve">STATE_NAME</t>
  </si>
  <si>
    <t xml:space="preserve">PC_NO</t>
  </si>
  <si>
    <t xml:space="preserve">PC_NAME</t>
  </si>
  <si>
    <t xml:space="preserve">ELECTORS</t>
  </si>
  <si>
    <t xml:space="preserve">EVM_MALE</t>
  </si>
  <si>
    <t xml:space="preserve">EVM_FEMALE</t>
  </si>
  <si>
    <t xml:space="preserve">EVM_OTHERS</t>
  </si>
  <si>
    <t xml:space="preserve">EVM_TOTAL</t>
  </si>
  <si>
    <t xml:space="preserve">EVM_NRI</t>
  </si>
  <si>
    <t xml:space="preserve">POSTAL_VOTES</t>
  </si>
  <si>
    <t xml:space="preserve">TOTAL_VOTERS</t>
  </si>
  <si>
    <t xml:space="preserve">VOTER_TURN_OUT_PERCENT</t>
  </si>
  <si>
    <t xml:space="preserve">VOTER_TURNOUT_MALE_PERCENT</t>
  </si>
  <si>
    <t xml:space="preserve">VOTER_TURNOUT_FEMALE_PERCENT</t>
  </si>
  <si>
    <t xml:space="preserve">VOTER_TURNOUT_OTHERS_PERCENT</t>
  </si>
  <si>
    <t xml:space="preserve">Andhra Pradesh</t>
  </si>
  <si>
    <t xml:space="preserve">Adilabad </t>
  </si>
  <si>
    <t xml:space="preserve">Peddapalle </t>
  </si>
  <si>
    <t xml:space="preserve">Karimnagar </t>
  </si>
  <si>
    <t xml:space="preserve">Nizamabad</t>
  </si>
  <si>
    <t xml:space="preserve">Zahirabad</t>
  </si>
  <si>
    <t xml:space="preserve">Medak</t>
  </si>
  <si>
    <t xml:space="preserve">Malkajgiri</t>
  </si>
  <si>
    <t xml:space="preserve">Secundrabad</t>
  </si>
  <si>
    <t xml:space="preserve">Hyderabad</t>
  </si>
  <si>
    <t xml:space="preserve">Chelvella</t>
  </si>
  <si>
    <t xml:space="preserve">Mahbubnagar</t>
  </si>
  <si>
    <t xml:space="preserve">Nagarkurnool</t>
  </si>
  <si>
    <t xml:space="preserve">Nalgonda</t>
  </si>
  <si>
    <t xml:space="preserve">Bhongir </t>
  </si>
  <si>
    <t xml:space="preserve">Warangal</t>
  </si>
  <si>
    <t xml:space="preserve">Mahabubabad  </t>
  </si>
  <si>
    <t xml:space="preserve">Khammam </t>
  </si>
  <si>
    <t xml:space="preserve">Aruku </t>
  </si>
  <si>
    <t xml:space="preserve">Srikakulam</t>
  </si>
  <si>
    <t xml:space="preserve">Vizianagaram</t>
  </si>
  <si>
    <t xml:space="preserve">Visakhapatnam</t>
  </si>
  <si>
    <t xml:space="preserve">Anakapalli</t>
  </si>
  <si>
    <t xml:space="preserve">Kakinada</t>
  </si>
  <si>
    <t xml:space="preserve">Amalapuram </t>
  </si>
  <si>
    <t xml:space="preserve">Rajahmundry</t>
  </si>
  <si>
    <t xml:space="preserve">Narsapuram</t>
  </si>
  <si>
    <t xml:space="preserve">Eluru </t>
  </si>
  <si>
    <t xml:space="preserve">Machilipatnam </t>
  </si>
  <si>
    <t xml:space="preserve">Vijayawada</t>
  </si>
  <si>
    <t xml:space="preserve">Guntur</t>
  </si>
  <si>
    <t xml:space="preserve">Narasaraopet</t>
  </si>
  <si>
    <t xml:space="preserve">Bapatla </t>
  </si>
  <si>
    <t xml:space="preserve">Ongole </t>
  </si>
  <si>
    <t xml:space="preserve">0dyal</t>
  </si>
  <si>
    <t xml:space="preserve">Kurnool</t>
  </si>
  <si>
    <t xml:space="preserve">A0tapur</t>
  </si>
  <si>
    <t xml:space="preserve">Hindupur</t>
  </si>
  <si>
    <t xml:space="preserve">Kadapa</t>
  </si>
  <si>
    <t xml:space="preserve">Nellore</t>
  </si>
  <si>
    <t xml:space="preserve">Tirupati </t>
  </si>
  <si>
    <t xml:space="preserve">Rajampet</t>
  </si>
  <si>
    <t xml:space="preserve">Chittoor </t>
  </si>
  <si>
    <t xml:space="preserve">Arunachal Pradesh</t>
  </si>
  <si>
    <t xml:space="preserve">Arunachal West</t>
  </si>
  <si>
    <t xml:space="preserve">Arunachal East</t>
  </si>
  <si>
    <t xml:space="preserve">Assam</t>
  </si>
  <si>
    <t xml:space="preserve">Karimganj </t>
  </si>
  <si>
    <t xml:space="preserve">Silchar</t>
  </si>
  <si>
    <t xml:space="preserve">Autonomous District</t>
  </si>
  <si>
    <t xml:space="preserve">Dhubri</t>
  </si>
  <si>
    <t xml:space="preserve">Kokrajhar</t>
  </si>
  <si>
    <t xml:space="preserve">Barpeta</t>
  </si>
  <si>
    <t xml:space="preserve">Gauhati</t>
  </si>
  <si>
    <t xml:space="preserve">Mangaldoi</t>
  </si>
  <si>
    <t xml:space="preserve">Tezpur</t>
  </si>
  <si>
    <t xml:space="preserve">Nowgong</t>
  </si>
  <si>
    <t xml:space="preserve">Kaliabor</t>
  </si>
  <si>
    <t xml:space="preserve">Jorhat</t>
  </si>
  <si>
    <t xml:space="preserve">Dibrugarh</t>
  </si>
  <si>
    <t xml:space="preserve">Lakhimpur</t>
  </si>
  <si>
    <t xml:space="preserve">Bihar</t>
  </si>
  <si>
    <t xml:space="preserve">Valmiki Nagar</t>
  </si>
  <si>
    <t xml:space="preserve">Paschim Champaran</t>
  </si>
  <si>
    <t xml:space="preserve">Purvi Champaran</t>
  </si>
  <si>
    <t xml:space="preserve">Sheohar</t>
  </si>
  <si>
    <t xml:space="preserve">Sitamarhi</t>
  </si>
  <si>
    <t xml:space="preserve">Madhubani</t>
  </si>
  <si>
    <t xml:space="preserve">Jhanjharpur</t>
  </si>
  <si>
    <t xml:space="preserve">Supaul</t>
  </si>
  <si>
    <t xml:space="preserve">Araria</t>
  </si>
  <si>
    <t xml:space="preserve">Kishanganj</t>
  </si>
  <si>
    <t xml:space="preserve">Katihar</t>
  </si>
  <si>
    <t xml:space="preserve">Purnia</t>
  </si>
  <si>
    <t xml:space="preserve">Madhepura</t>
  </si>
  <si>
    <t xml:space="preserve">Darbhanga</t>
  </si>
  <si>
    <t xml:space="preserve">Muzaffarpur</t>
  </si>
  <si>
    <t xml:space="preserve">Vaishali</t>
  </si>
  <si>
    <t xml:space="preserve">Gopalganj (Sc)</t>
  </si>
  <si>
    <t xml:space="preserve">Siwan</t>
  </si>
  <si>
    <t xml:space="preserve">Maharajganj</t>
  </si>
  <si>
    <t xml:space="preserve">Saran</t>
  </si>
  <si>
    <t xml:space="preserve">Hajipur (Sc)</t>
  </si>
  <si>
    <t xml:space="preserve">Ujiarpur</t>
  </si>
  <si>
    <t xml:space="preserve">Samastipur (Sc)</t>
  </si>
  <si>
    <t xml:space="preserve">Begusarai</t>
  </si>
  <si>
    <t xml:space="preserve">Khagaria</t>
  </si>
  <si>
    <t xml:space="preserve">Bhagalpur</t>
  </si>
  <si>
    <t xml:space="preserve">Banka</t>
  </si>
  <si>
    <t xml:space="preserve">Munger</t>
  </si>
  <si>
    <t xml:space="preserve">Nalanda</t>
  </si>
  <si>
    <t xml:space="preserve">Patna Sahib</t>
  </si>
  <si>
    <t xml:space="preserve">Pataliputra</t>
  </si>
  <si>
    <t xml:space="preserve">Arrah</t>
  </si>
  <si>
    <t xml:space="preserve">Buxar</t>
  </si>
  <si>
    <t xml:space="preserve">Sasaram (Sc)</t>
  </si>
  <si>
    <t xml:space="preserve">Karakat</t>
  </si>
  <si>
    <t xml:space="preserve">Jahanabad</t>
  </si>
  <si>
    <t xml:space="preserve">Aurangabad</t>
  </si>
  <si>
    <t xml:space="preserve">Gaya (Sc)</t>
  </si>
  <si>
    <t xml:space="preserve">Nawada</t>
  </si>
  <si>
    <t xml:space="preserve">Jamui (Sc)</t>
  </si>
  <si>
    <t xml:space="preserve">Goa</t>
  </si>
  <si>
    <t xml:space="preserve">North Goa</t>
  </si>
  <si>
    <t xml:space="preserve">South Goa</t>
  </si>
  <si>
    <t xml:space="preserve">Gujarat</t>
  </si>
  <si>
    <t xml:space="preserve">Kachchh</t>
  </si>
  <si>
    <t xml:space="preserve">Banaskantha</t>
  </si>
  <si>
    <t xml:space="preserve">Patan</t>
  </si>
  <si>
    <t xml:space="preserve">Mahesana</t>
  </si>
  <si>
    <t xml:space="preserve">Sabarkantha</t>
  </si>
  <si>
    <t xml:space="preserve">Gandhinagar</t>
  </si>
  <si>
    <t xml:space="preserve">Ahmedabad East</t>
  </si>
  <si>
    <t xml:space="preserve">Ahmedabad West</t>
  </si>
  <si>
    <t xml:space="preserve">Surendranagar</t>
  </si>
  <si>
    <t xml:space="preserve">Rajkot</t>
  </si>
  <si>
    <t xml:space="preserve">Porbandar</t>
  </si>
  <si>
    <t xml:space="preserve">Jamnagar</t>
  </si>
  <si>
    <t xml:space="preserve">Junagadh</t>
  </si>
  <si>
    <t xml:space="preserve">Amreli</t>
  </si>
  <si>
    <t xml:space="preserve">Bhavnagar</t>
  </si>
  <si>
    <t xml:space="preserve">A0d</t>
  </si>
  <si>
    <t xml:space="preserve">Kheda</t>
  </si>
  <si>
    <t xml:space="preserve">Panchmahal</t>
  </si>
  <si>
    <t xml:space="preserve">Dahod</t>
  </si>
  <si>
    <t xml:space="preserve">Vadodara</t>
  </si>
  <si>
    <t xml:space="preserve">Chhota Udaipur</t>
  </si>
  <si>
    <t xml:space="preserve">Bharuch</t>
  </si>
  <si>
    <t xml:space="preserve">Bardoli</t>
  </si>
  <si>
    <t xml:space="preserve">Surat</t>
  </si>
  <si>
    <t xml:space="preserve">Navsari</t>
  </si>
  <si>
    <t xml:space="preserve">Valsad</t>
  </si>
  <si>
    <t xml:space="preserve">Haryana</t>
  </si>
  <si>
    <t xml:space="preserve">Ambala</t>
  </si>
  <si>
    <t xml:space="preserve">Kurukshetra</t>
  </si>
  <si>
    <t xml:space="preserve">Sirsa</t>
  </si>
  <si>
    <t xml:space="preserve">Hisar</t>
  </si>
  <si>
    <t xml:space="preserve">Karnal</t>
  </si>
  <si>
    <t xml:space="preserve">Sonipat</t>
  </si>
  <si>
    <t xml:space="preserve">Rohtak</t>
  </si>
  <si>
    <t xml:space="preserve">Bhiwani-Mahendragarh</t>
  </si>
  <si>
    <t xml:space="preserve">Gurgaon</t>
  </si>
  <si>
    <t xml:space="preserve">Faridabad</t>
  </si>
  <si>
    <t xml:space="preserve">Himachal Pradesh</t>
  </si>
  <si>
    <t xml:space="preserve">Kangra</t>
  </si>
  <si>
    <t xml:space="preserve">Mandi</t>
  </si>
  <si>
    <t xml:space="preserve">Hamirpur</t>
  </si>
  <si>
    <t xml:space="preserve">Shimla</t>
  </si>
  <si>
    <t xml:space="preserve">Jammu &amp; Kashmir</t>
  </si>
  <si>
    <t xml:space="preserve">Baramulla</t>
  </si>
  <si>
    <t xml:space="preserve">Srinagar</t>
  </si>
  <si>
    <t xml:space="preserve">A0tnag</t>
  </si>
  <si>
    <t xml:space="preserve">Ladakh</t>
  </si>
  <si>
    <t xml:space="preserve">Udhampur</t>
  </si>
  <si>
    <t xml:space="preserve">Jammu</t>
  </si>
  <si>
    <t xml:space="preserve">Karnataka</t>
  </si>
  <si>
    <t xml:space="preserve">Chikkodi</t>
  </si>
  <si>
    <t xml:space="preserve">Belgaum</t>
  </si>
  <si>
    <t xml:space="preserve">Bagalkot</t>
  </si>
  <si>
    <t xml:space="preserve">Bijapur</t>
  </si>
  <si>
    <t xml:space="preserve">Gulbarga</t>
  </si>
  <si>
    <t xml:space="preserve">Raichur</t>
  </si>
  <si>
    <t xml:space="preserve">Bidar</t>
  </si>
  <si>
    <t xml:space="preserve">Koppal</t>
  </si>
  <si>
    <t xml:space="preserve">Bellary</t>
  </si>
  <si>
    <t xml:space="preserve">Haveri</t>
  </si>
  <si>
    <t xml:space="preserve">Dharwad</t>
  </si>
  <si>
    <t xml:space="preserve">Uttara Kannada</t>
  </si>
  <si>
    <t xml:space="preserve">Davanagere</t>
  </si>
  <si>
    <t xml:space="preserve">Shimoga</t>
  </si>
  <si>
    <t xml:space="preserve">Udupi Chikmagalur</t>
  </si>
  <si>
    <t xml:space="preserve">Hassan</t>
  </si>
  <si>
    <t xml:space="preserve">Dakshina Kannada</t>
  </si>
  <si>
    <t xml:space="preserve">Chitradurga</t>
  </si>
  <si>
    <t xml:space="preserve">Tumkur</t>
  </si>
  <si>
    <t xml:space="preserve">Mandya</t>
  </si>
  <si>
    <t xml:space="preserve">Mysore</t>
  </si>
  <si>
    <t xml:space="preserve">Chamarajanagar</t>
  </si>
  <si>
    <t xml:space="preserve">Bangalore Rural</t>
  </si>
  <si>
    <t xml:space="preserve">Bangalore North</t>
  </si>
  <si>
    <t xml:space="preserve">Bangalore Central</t>
  </si>
  <si>
    <t xml:space="preserve">Bangalore South</t>
  </si>
  <si>
    <t xml:space="preserve">Chikkballapur</t>
  </si>
  <si>
    <t xml:space="preserve">Kolar</t>
  </si>
  <si>
    <t xml:space="preserve">Kerala</t>
  </si>
  <si>
    <t xml:space="preserve">Kasaragod</t>
  </si>
  <si>
    <t xml:space="preserve">Kannur</t>
  </si>
  <si>
    <t xml:space="preserve">Vadakara</t>
  </si>
  <si>
    <t xml:space="preserve">Wayanad</t>
  </si>
  <si>
    <t xml:space="preserve">Kozhikode</t>
  </si>
  <si>
    <t xml:space="preserve">Malappuram</t>
  </si>
  <si>
    <t xml:space="preserve">Pon0i</t>
  </si>
  <si>
    <t xml:space="preserve">Palakkad</t>
  </si>
  <si>
    <t xml:space="preserve">Alathur </t>
  </si>
  <si>
    <t xml:space="preserve">Thrissur</t>
  </si>
  <si>
    <t xml:space="preserve">Chalakudy</t>
  </si>
  <si>
    <t xml:space="preserve">Ernakulam</t>
  </si>
  <si>
    <t xml:space="preserve">Idukki</t>
  </si>
  <si>
    <t xml:space="preserve">Kottayam</t>
  </si>
  <si>
    <t xml:space="preserve">Alappuzha</t>
  </si>
  <si>
    <t xml:space="preserve">Mavelikkara </t>
  </si>
  <si>
    <t xml:space="preserve">Pathanamthitta</t>
  </si>
  <si>
    <t xml:space="preserve">Kollam</t>
  </si>
  <si>
    <t xml:space="preserve">Attingal</t>
  </si>
  <si>
    <t xml:space="preserve">Thiruva0thapuram</t>
  </si>
  <si>
    <t xml:space="preserve">Madhya Pradesh</t>
  </si>
  <si>
    <t xml:space="preserve">Morena</t>
  </si>
  <si>
    <t xml:space="preserve">Bhind</t>
  </si>
  <si>
    <t xml:space="preserve">Gwalior</t>
  </si>
  <si>
    <t xml:space="preserve">Guna</t>
  </si>
  <si>
    <t xml:space="preserve">Sagar</t>
  </si>
  <si>
    <t xml:space="preserve">Tikamgarh</t>
  </si>
  <si>
    <t xml:space="preserve">Damoh</t>
  </si>
  <si>
    <t xml:space="preserve">Khajuraho</t>
  </si>
  <si>
    <t xml:space="preserve">Satna</t>
  </si>
  <si>
    <t xml:space="preserve">Rewa</t>
  </si>
  <si>
    <t xml:space="preserve">Sidhi</t>
  </si>
  <si>
    <t xml:space="preserve">Shahdol</t>
  </si>
  <si>
    <t xml:space="preserve">Jabalpur</t>
  </si>
  <si>
    <t xml:space="preserve">Mandla</t>
  </si>
  <si>
    <t xml:space="preserve">Balaghat</t>
  </si>
  <si>
    <t xml:space="preserve">Chhindwara</t>
  </si>
  <si>
    <t xml:space="preserve">Hoshangabad</t>
  </si>
  <si>
    <t xml:space="preserve">Vidisha</t>
  </si>
  <si>
    <t xml:space="preserve">Bhopal</t>
  </si>
  <si>
    <t xml:space="preserve">Rajgarh</t>
  </si>
  <si>
    <t xml:space="preserve">Dewas</t>
  </si>
  <si>
    <t xml:space="preserve">Ujjain</t>
  </si>
  <si>
    <t xml:space="preserve">Mandsour</t>
  </si>
  <si>
    <t xml:space="preserve">Ratlam</t>
  </si>
  <si>
    <t xml:space="preserve">Dhar</t>
  </si>
  <si>
    <t xml:space="preserve">Indore</t>
  </si>
  <si>
    <t xml:space="preserve">Khargone</t>
  </si>
  <si>
    <t xml:space="preserve">Khandwa</t>
  </si>
  <si>
    <t xml:space="preserve">Betul</t>
  </si>
  <si>
    <t xml:space="preserve">Maharashtra</t>
  </si>
  <si>
    <t xml:space="preserve">0durbar </t>
  </si>
  <si>
    <t xml:space="preserve">Dhule</t>
  </si>
  <si>
    <t xml:space="preserve">Jalgaon</t>
  </si>
  <si>
    <t xml:space="preserve">Raver</t>
  </si>
  <si>
    <t xml:space="preserve">Buldhana</t>
  </si>
  <si>
    <t xml:space="preserve">Akola</t>
  </si>
  <si>
    <t xml:space="preserve">Amravati </t>
  </si>
  <si>
    <t xml:space="preserve">Wardha</t>
  </si>
  <si>
    <t xml:space="preserve">Ramtek </t>
  </si>
  <si>
    <t xml:space="preserve">Nagpur </t>
  </si>
  <si>
    <t xml:space="preserve">Bhandara - Gondiya</t>
  </si>
  <si>
    <t xml:space="preserve">Gadchiroli-Chimur</t>
  </si>
  <si>
    <t xml:space="preserve">Chandrapur</t>
  </si>
  <si>
    <t xml:space="preserve">Yavatmal-Washim</t>
  </si>
  <si>
    <t xml:space="preserve">Hingoli </t>
  </si>
  <si>
    <t xml:space="preserve">0ded</t>
  </si>
  <si>
    <t xml:space="preserve">Parbhani</t>
  </si>
  <si>
    <t xml:space="preserve">Jalna</t>
  </si>
  <si>
    <t xml:space="preserve">Dindori </t>
  </si>
  <si>
    <t xml:space="preserve">Nashik</t>
  </si>
  <si>
    <t xml:space="preserve">Palghar </t>
  </si>
  <si>
    <t xml:space="preserve">Bhiwandi</t>
  </si>
  <si>
    <t xml:space="preserve">Kalyan</t>
  </si>
  <si>
    <t xml:space="preserve">Thane</t>
  </si>
  <si>
    <t xml:space="preserve">Mumbai North</t>
  </si>
  <si>
    <t xml:space="preserve">Mumbai North West</t>
  </si>
  <si>
    <t xml:space="preserve">Mumbai North East</t>
  </si>
  <si>
    <t xml:space="preserve">Mumbai North Central</t>
  </si>
  <si>
    <t xml:space="preserve">Mumbai South Central</t>
  </si>
  <si>
    <t xml:space="preserve">Mumbai   South</t>
  </si>
  <si>
    <t xml:space="preserve">Raigad</t>
  </si>
  <si>
    <t xml:space="preserve">Maval</t>
  </si>
  <si>
    <t xml:space="preserve">Pune</t>
  </si>
  <si>
    <t xml:space="preserve">Baramati</t>
  </si>
  <si>
    <t xml:space="preserve">Shirur</t>
  </si>
  <si>
    <t xml:space="preserve">Ahmednagar</t>
  </si>
  <si>
    <t xml:space="preserve">Shirdi</t>
  </si>
  <si>
    <t xml:space="preserve">Beed</t>
  </si>
  <si>
    <t xml:space="preserve">Osmanabad</t>
  </si>
  <si>
    <t xml:space="preserve">Latur </t>
  </si>
  <si>
    <t xml:space="preserve">Solapur </t>
  </si>
  <si>
    <t xml:space="preserve">Madha</t>
  </si>
  <si>
    <t xml:space="preserve">Sangli</t>
  </si>
  <si>
    <t xml:space="preserve">Satara</t>
  </si>
  <si>
    <t xml:space="preserve">Ratnagiri - Sindhudurg</t>
  </si>
  <si>
    <t xml:space="preserve">Kolhapur</t>
  </si>
  <si>
    <t xml:space="preserve">Hatka0gle</t>
  </si>
  <si>
    <t xml:space="preserve">Manipur</t>
  </si>
  <si>
    <t xml:space="preserve">Inner Manipur</t>
  </si>
  <si>
    <t xml:space="preserve">Outer Manipur</t>
  </si>
  <si>
    <t xml:space="preserve">Meghalaya</t>
  </si>
  <si>
    <t xml:space="preserve">Shillong</t>
  </si>
  <si>
    <t xml:space="preserve">Tura </t>
  </si>
  <si>
    <t xml:space="preserve">Mizoram</t>
  </si>
  <si>
    <t xml:space="preserve">Nagaland</t>
  </si>
  <si>
    <t xml:space="preserve">Odisha</t>
  </si>
  <si>
    <t xml:space="preserve">Bargarh</t>
  </si>
  <si>
    <t xml:space="preserve">Sundargarh </t>
  </si>
  <si>
    <t xml:space="preserve">Sambalpur</t>
  </si>
  <si>
    <t xml:space="preserve">Keonjhar </t>
  </si>
  <si>
    <t xml:space="preserve">Mayurbhanj </t>
  </si>
  <si>
    <t xml:space="preserve">Balasore</t>
  </si>
  <si>
    <t xml:space="preserve">Bhadrak </t>
  </si>
  <si>
    <t xml:space="preserve">Jajpur </t>
  </si>
  <si>
    <t xml:space="preserve">Dhenkanal</t>
  </si>
  <si>
    <t xml:space="preserve">Bolangir</t>
  </si>
  <si>
    <t xml:space="preserve">Kalahandi</t>
  </si>
  <si>
    <t xml:space="preserve">Nabarangpur </t>
  </si>
  <si>
    <t xml:space="preserve">Kandhamal</t>
  </si>
  <si>
    <t xml:space="preserve">Cuttack</t>
  </si>
  <si>
    <t xml:space="preserve">Kendrapara </t>
  </si>
  <si>
    <t xml:space="preserve">Jagatsinghpur </t>
  </si>
  <si>
    <t xml:space="preserve">Puri</t>
  </si>
  <si>
    <t xml:space="preserve">Bhubaneswar</t>
  </si>
  <si>
    <t xml:space="preserve">Aska</t>
  </si>
  <si>
    <t xml:space="preserve">Berhampur</t>
  </si>
  <si>
    <t xml:space="preserve">Koraput </t>
  </si>
  <si>
    <t xml:space="preserve">Punjab</t>
  </si>
  <si>
    <t xml:space="preserve">Gurdaspur</t>
  </si>
  <si>
    <t xml:space="preserve">Amritsar</t>
  </si>
  <si>
    <t xml:space="preserve">Khadoor Sahib</t>
  </si>
  <si>
    <t xml:space="preserve">Jalandhar</t>
  </si>
  <si>
    <t xml:space="preserve">Hoshiarpur</t>
  </si>
  <si>
    <t xml:space="preserve">A0dpur Sahib</t>
  </si>
  <si>
    <t xml:space="preserve">Ludhiana</t>
  </si>
  <si>
    <t xml:space="preserve">Fatehgarh Sahib</t>
  </si>
  <si>
    <t xml:space="preserve">Faridkot</t>
  </si>
  <si>
    <t xml:space="preserve">Firozpur</t>
  </si>
  <si>
    <t xml:space="preserve">Bathinda</t>
  </si>
  <si>
    <t xml:space="preserve">Sangrur</t>
  </si>
  <si>
    <t xml:space="preserve">Patiala</t>
  </si>
  <si>
    <t xml:space="preserve">Rajasthan</t>
  </si>
  <si>
    <t xml:space="preserve">Ganganagar</t>
  </si>
  <si>
    <t xml:space="preserve">Bikaner</t>
  </si>
  <si>
    <t xml:space="preserve">Churu</t>
  </si>
  <si>
    <t xml:space="preserve">Jhunjhunu</t>
  </si>
  <si>
    <t xml:space="preserve">Sikar</t>
  </si>
  <si>
    <t xml:space="preserve">Jaipur Rural</t>
  </si>
  <si>
    <t xml:space="preserve">Jaipur</t>
  </si>
  <si>
    <t xml:space="preserve">Alwar</t>
  </si>
  <si>
    <t xml:space="preserve">Bharatpur</t>
  </si>
  <si>
    <t xml:space="preserve">Karauli-Dholpur</t>
  </si>
  <si>
    <t xml:space="preserve">Dausa</t>
  </si>
  <si>
    <t xml:space="preserve">Tonk-Sawai Madhopur</t>
  </si>
  <si>
    <t xml:space="preserve">Ajmer</t>
  </si>
  <si>
    <t xml:space="preserve">Nagaur</t>
  </si>
  <si>
    <t xml:space="preserve">Pali</t>
  </si>
  <si>
    <t xml:space="preserve">Jodhpur</t>
  </si>
  <si>
    <t xml:space="preserve">Barmer</t>
  </si>
  <si>
    <t xml:space="preserve">Jalore</t>
  </si>
  <si>
    <t xml:space="preserve">Udaipur</t>
  </si>
  <si>
    <t xml:space="preserve">Banswara</t>
  </si>
  <si>
    <t xml:space="preserve">Chittorgarh</t>
  </si>
  <si>
    <t xml:space="preserve">Rajsamand</t>
  </si>
  <si>
    <t xml:space="preserve">Bhilwara</t>
  </si>
  <si>
    <t xml:space="preserve">Kota</t>
  </si>
  <si>
    <t xml:space="preserve">Jhalawar-Baran</t>
  </si>
  <si>
    <t xml:space="preserve">Sikkim</t>
  </si>
  <si>
    <t xml:space="preserve">Tamil Nadu</t>
  </si>
  <si>
    <t xml:space="preserve">Thiruvallur </t>
  </si>
  <si>
    <t xml:space="preserve">Chennai North</t>
  </si>
  <si>
    <t xml:space="preserve">Chennai South</t>
  </si>
  <si>
    <t xml:space="preserve">Chennai Central</t>
  </si>
  <si>
    <t xml:space="preserve">Sriperumbudur</t>
  </si>
  <si>
    <t xml:space="preserve">Kancheepuram </t>
  </si>
  <si>
    <t xml:space="preserve">Arakkonam</t>
  </si>
  <si>
    <t xml:space="preserve">Vellore</t>
  </si>
  <si>
    <t xml:space="preserve">Krishnagiri</t>
  </si>
  <si>
    <t xml:space="preserve">Dharmapuri</t>
  </si>
  <si>
    <t xml:space="preserve">Tiruvannamalai</t>
  </si>
  <si>
    <t xml:space="preserve">Arani</t>
  </si>
  <si>
    <t xml:space="preserve">Viluppuram</t>
  </si>
  <si>
    <t xml:space="preserve">Kallakurichi</t>
  </si>
  <si>
    <t xml:space="preserve">Salem</t>
  </si>
  <si>
    <t xml:space="preserve">Namakkal</t>
  </si>
  <si>
    <t xml:space="preserve">Erode</t>
  </si>
  <si>
    <t xml:space="preserve">Tiruppur</t>
  </si>
  <si>
    <t xml:space="preserve">Nilgiris </t>
  </si>
  <si>
    <t xml:space="preserve">Coimbatore</t>
  </si>
  <si>
    <t xml:space="preserve">Pollachi</t>
  </si>
  <si>
    <t xml:space="preserve">Dindigul</t>
  </si>
  <si>
    <t xml:space="preserve">Karur</t>
  </si>
  <si>
    <t xml:space="preserve">Tiruchirappalli</t>
  </si>
  <si>
    <t xml:space="preserve">Perambalur</t>
  </si>
  <si>
    <t xml:space="preserve">Cuddalore </t>
  </si>
  <si>
    <t xml:space="preserve">Chidambaram </t>
  </si>
  <si>
    <t xml:space="preserve">Mayiladuthurai</t>
  </si>
  <si>
    <t xml:space="preserve">Nagapattinam </t>
  </si>
  <si>
    <t xml:space="preserve">Thanjavur</t>
  </si>
  <si>
    <t xml:space="preserve">Sivaganga</t>
  </si>
  <si>
    <t xml:space="preserve">Madurai</t>
  </si>
  <si>
    <t xml:space="preserve">Theni </t>
  </si>
  <si>
    <t xml:space="preserve">Virudhunagar</t>
  </si>
  <si>
    <t xml:space="preserve">Ramanathapuram</t>
  </si>
  <si>
    <t xml:space="preserve">Thoothukkudi</t>
  </si>
  <si>
    <t xml:space="preserve">Tenkasi </t>
  </si>
  <si>
    <t xml:space="preserve">Tirunelveli</t>
  </si>
  <si>
    <t xml:space="preserve">Kanniyakumari</t>
  </si>
  <si>
    <t xml:space="preserve">Tripura</t>
  </si>
  <si>
    <t xml:space="preserve">Tripura West</t>
  </si>
  <si>
    <t xml:space="preserve">Tripura East</t>
  </si>
  <si>
    <t xml:space="preserve">Uttar Pradesh</t>
  </si>
  <si>
    <t xml:space="preserve">Saharanpur</t>
  </si>
  <si>
    <t xml:space="preserve">Kairana</t>
  </si>
  <si>
    <t xml:space="preserve">Muzaffarnagar</t>
  </si>
  <si>
    <t xml:space="preserve">Bijnor</t>
  </si>
  <si>
    <t xml:space="preserve">Nagina</t>
  </si>
  <si>
    <t xml:space="preserve">Moradabad</t>
  </si>
  <si>
    <t xml:space="preserve">Rampur</t>
  </si>
  <si>
    <t xml:space="preserve">Sambhal</t>
  </si>
  <si>
    <t xml:space="preserve">Amroha</t>
  </si>
  <si>
    <t xml:space="preserve">Meerut</t>
  </si>
  <si>
    <t xml:space="preserve">Baghpat</t>
  </si>
  <si>
    <t xml:space="preserve">Ghaziabad</t>
  </si>
  <si>
    <t xml:space="preserve">Gautam Buddha Nagar</t>
  </si>
  <si>
    <t xml:space="preserve">Bulandshahr</t>
  </si>
  <si>
    <t xml:space="preserve">Aligarh</t>
  </si>
  <si>
    <t xml:space="preserve">Hathras</t>
  </si>
  <si>
    <t xml:space="preserve">Mathura</t>
  </si>
  <si>
    <t xml:space="preserve">Agra</t>
  </si>
  <si>
    <t xml:space="preserve">Fatehpur Sikri</t>
  </si>
  <si>
    <t xml:space="preserve">Firozabad</t>
  </si>
  <si>
    <t xml:space="preserve">Mainpuri</t>
  </si>
  <si>
    <t xml:space="preserve">Etah</t>
  </si>
  <si>
    <t xml:space="preserve">Badaun</t>
  </si>
  <si>
    <t xml:space="preserve">Aonla</t>
  </si>
  <si>
    <t xml:space="preserve">Bareilly</t>
  </si>
  <si>
    <t xml:space="preserve">Pilibhit</t>
  </si>
  <si>
    <t xml:space="preserve">Shahjahanpur</t>
  </si>
  <si>
    <t xml:space="preserve">Kheri</t>
  </si>
  <si>
    <t xml:space="preserve">Dhaurahra</t>
  </si>
  <si>
    <t xml:space="preserve">Sitapur</t>
  </si>
  <si>
    <t xml:space="preserve">Hardoi</t>
  </si>
  <si>
    <t xml:space="preserve">Misrikh</t>
  </si>
  <si>
    <t xml:space="preserve">Unnao</t>
  </si>
  <si>
    <t xml:space="preserve">Mohanlalganj</t>
  </si>
  <si>
    <t xml:space="preserve">Lucknow</t>
  </si>
  <si>
    <t xml:space="preserve">Rae Bareli</t>
  </si>
  <si>
    <t xml:space="preserve">Amethi</t>
  </si>
  <si>
    <t xml:space="preserve">Sultanpur</t>
  </si>
  <si>
    <t xml:space="preserve">Pratapgarh</t>
  </si>
  <si>
    <t xml:space="preserve">Farrukhabad</t>
  </si>
  <si>
    <t xml:space="preserve">Etawah</t>
  </si>
  <si>
    <t xml:space="preserve">Kannauj</t>
  </si>
  <si>
    <t xml:space="preserve">Kanpur</t>
  </si>
  <si>
    <t xml:space="preserve">Akbarpur</t>
  </si>
  <si>
    <t xml:space="preserve">Jalaun</t>
  </si>
  <si>
    <t xml:space="preserve">Jhansi</t>
  </si>
  <si>
    <t xml:space="preserve">Banda</t>
  </si>
  <si>
    <t xml:space="preserve">Fatehpur</t>
  </si>
  <si>
    <t xml:space="preserve">Kaushambi</t>
  </si>
  <si>
    <t xml:space="preserve">Phulpur</t>
  </si>
  <si>
    <t xml:space="preserve">Allahabad</t>
  </si>
  <si>
    <t xml:space="preserve">Barabanki</t>
  </si>
  <si>
    <t xml:space="preserve">Faizabad</t>
  </si>
  <si>
    <t xml:space="preserve">Ambedkar Nagar</t>
  </si>
  <si>
    <t xml:space="preserve">Bahraich</t>
  </si>
  <si>
    <t xml:space="preserve">Kaiserganj</t>
  </si>
  <si>
    <t xml:space="preserve">Shrawasti</t>
  </si>
  <si>
    <t xml:space="preserve">Gonda</t>
  </si>
  <si>
    <t xml:space="preserve">Domariyaganj</t>
  </si>
  <si>
    <t xml:space="preserve">Basti</t>
  </si>
  <si>
    <t xml:space="preserve">Sant Kabir Nagar</t>
  </si>
  <si>
    <t xml:space="preserve">Gorakhpur</t>
  </si>
  <si>
    <t xml:space="preserve">Kushi Nagar</t>
  </si>
  <si>
    <t xml:space="preserve">Deoria</t>
  </si>
  <si>
    <t xml:space="preserve">Bansgaon</t>
  </si>
  <si>
    <t xml:space="preserve">Lalganj</t>
  </si>
  <si>
    <t xml:space="preserve">Azamgarh</t>
  </si>
  <si>
    <t xml:space="preserve">Ghosi</t>
  </si>
  <si>
    <t xml:space="preserve">Salempur</t>
  </si>
  <si>
    <t xml:space="preserve">Ballia</t>
  </si>
  <si>
    <t xml:space="preserve">Jaunpur</t>
  </si>
  <si>
    <t xml:space="preserve">Machhlishahr</t>
  </si>
  <si>
    <t xml:space="preserve">Ghazipur</t>
  </si>
  <si>
    <t xml:space="preserve">Chandauli</t>
  </si>
  <si>
    <t xml:space="preserve">Varanasi</t>
  </si>
  <si>
    <t xml:space="preserve">Bhadohi</t>
  </si>
  <si>
    <t xml:space="preserve">Mirzapur</t>
  </si>
  <si>
    <t xml:space="preserve">Robertsganj</t>
  </si>
  <si>
    <t xml:space="preserve">West Bengal</t>
  </si>
  <si>
    <t xml:space="preserve">Cooch Behar</t>
  </si>
  <si>
    <t xml:space="preserve">Alipurduars</t>
  </si>
  <si>
    <t xml:space="preserve">Jalpaiguri</t>
  </si>
  <si>
    <t xml:space="preserve">Darjeeling</t>
  </si>
  <si>
    <t xml:space="preserve">Raiganj</t>
  </si>
  <si>
    <t xml:space="preserve">Balurghat</t>
  </si>
  <si>
    <t xml:space="preserve">Maldaha Uttar</t>
  </si>
  <si>
    <t xml:space="preserve">Maldaha Dakshin</t>
  </si>
  <si>
    <t xml:space="preserve">Jangipur</t>
  </si>
  <si>
    <t xml:space="preserve">Baharampur</t>
  </si>
  <si>
    <t xml:space="preserve">Murshidabad</t>
  </si>
  <si>
    <t xml:space="preserve">Krish0agar</t>
  </si>
  <si>
    <t xml:space="preserve">Ranaghat</t>
  </si>
  <si>
    <t xml:space="preserve">Bangaon</t>
  </si>
  <si>
    <t xml:space="preserve">Barrackpore</t>
  </si>
  <si>
    <t xml:space="preserve">Dum Dum</t>
  </si>
  <si>
    <t xml:space="preserve">Barasat</t>
  </si>
  <si>
    <t xml:space="preserve">Basirhat</t>
  </si>
  <si>
    <t xml:space="preserve">Joynagar</t>
  </si>
  <si>
    <t xml:space="preserve">Mathurapur</t>
  </si>
  <si>
    <t xml:space="preserve">Diamond Harbour</t>
  </si>
  <si>
    <t xml:space="preserve">Jadavpur</t>
  </si>
  <si>
    <t xml:space="preserve">Kolkata Dakshin</t>
  </si>
  <si>
    <t xml:space="preserve">Kolkata Uttar</t>
  </si>
  <si>
    <t xml:space="preserve">Howrah</t>
  </si>
  <si>
    <t xml:space="preserve">Uluberia</t>
  </si>
  <si>
    <t xml:space="preserve">Srerampur</t>
  </si>
  <si>
    <t xml:space="preserve">Hooghly</t>
  </si>
  <si>
    <t xml:space="preserve">Arambagh</t>
  </si>
  <si>
    <t xml:space="preserve">Tamluk</t>
  </si>
  <si>
    <t xml:space="preserve">Kanthi</t>
  </si>
  <si>
    <t xml:space="preserve">Ghatal</t>
  </si>
  <si>
    <t xml:space="preserve">Jhargram</t>
  </si>
  <si>
    <t xml:space="preserve">Medinipur</t>
  </si>
  <si>
    <t xml:space="preserve">Purulia</t>
  </si>
  <si>
    <t xml:space="preserve">Bankura</t>
  </si>
  <si>
    <t xml:space="preserve">Bishnupur</t>
  </si>
  <si>
    <t xml:space="preserve">Bardhaman Purba</t>
  </si>
  <si>
    <t xml:space="preserve">Burdwan - Durgapur</t>
  </si>
  <si>
    <t xml:space="preserve">Asansol</t>
  </si>
  <si>
    <t xml:space="preserve">Bolpur</t>
  </si>
  <si>
    <t xml:space="preserve">Birbhum</t>
  </si>
  <si>
    <t xml:space="preserve">Chhattisgarh</t>
  </si>
  <si>
    <t xml:space="preserve">Sarguja</t>
  </si>
  <si>
    <t xml:space="preserve">Raigarh</t>
  </si>
  <si>
    <t xml:space="preserve">Janjgir-Champa</t>
  </si>
  <si>
    <t xml:space="preserve">Korba</t>
  </si>
  <si>
    <t xml:space="preserve">Bilaspur</t>
  </si>
  <si>
    <t xml:space="preserve">Raj0dgaon</t>
  </si>
  <si>
    <t xml:space="preserve">Durg</t>
  </si>
  <si>
    <t xml:space="preserve">Raipur</t>
  </si>
  <si>
    <t xml:space="preserve">Mahasamund</t>
  </si>
  <si>
    <t xml:space="preserve">Bastar</t>
  </si>
  <si>
    <t xml:space="preserve">Kanker</t>
  </si>
  <si>
    <t xml:space="preserve">Jharkhand</t>
  </si>
  <si>
    <t xml:space="preserve">Rajmahal</t>
  </si>
  <si>
    <t xml:space="preserve">Dumka</t>
  </si>
  <si>
    <t xml:space="preserve">Godda</t>
  </si>
  <si>
    <t xml:space="preserve">Chatra</t>
  </si>
  <si>
    <t xml:space="preserve">Kodarma</t>
  </si>
  <si>
    <t xml:space="preserve">Giridih</t>
  </si>
  <si>
    <t xml:space="preserve">Dhanbad</t>
  </si>
  <si>
    <t xml:space="preserve">Ranchi</t>
  </si>
  <si>
    <t xml:space="preserve">Jamshedpur</t>
  </si>
  <si>
    <t xml:space="preserve">Singhbhum</t>
  </si>
  <si>
    <t xml:space="preserve">Khunti</t>
  </si>
  <si>
    <t xml:space="preserve">Lohardaga</t>
  </si>
  <si>
    <t xml:space="preserve">Palamau</t>
  </si>
  <si>
    <t xml:space="preserve">Hazaribagh</t>
  </si>
  <si>
    <t xml:space="preserve">Uttarakhand</t>
  </si>
  <si>
    <t xml:space="preserve">Tehri Garhwal</t>
  </si>
  <si>
    <t xml:space="preserve">Garhwal</t>
  </si>
  <si>
    <t xml:space="preserve">Almora</t>
  </si>
  <si>
    <t xml:space="preserve">Nainital-Udhamsingh Nagar</t>
  </si>
  <si>
    <t xml:space="preserve">Hardwar</t>
  </si>
  <si>
    <t xml:space="preserve">Andaman &amp; Nicobar Islands</t>
  </si>
  <si>
    <t xml:space="preserve">Chandigarh</t>
  </si>
  <si>
    <t xml:space="preserve">Dadra &amp; Nagar Haveli</t>
  </si>
  <si>
    <t xml:space="preserve">Dadar &amp; Nagar Haveli</t>
  </si>
  <si>
    <t xml:space="preserve">Daman &amp; Diu</t>
  </si>
  <si>
    <t xml:space="preserve">NCT OF Delhi</t>
  </si>
  <si>
    <t xml:space="preserve">Chandni Chowk                 </t>
  </si>
  <si>
    <t xml:space="preserve">North East Delhi              </t>
  </si>
  <si>
    <t xml:space="preserve">East Delhi                    </t>
  </si>
  <si>
    <t xml:space="preserve">New Delhi                     </t>
  </si>
  <si>
    <t xml:space="preserve">North West Delhi              </t>
  </si>
  <si>
    <t xml:space="preserve">West Delhi                    </t>
  </si>
  <si>
    <t xml:space="preserve">South Delhi                   </t>
  </si>
  <si>
    <t xml:space="preserve">Lakshadweep</t>
  </si>
  <si>
    <t xml:space="preserve">Puducherry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</si>
</sst>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252" colorId="64" zoomScale="100" zoomScaleNormal="100" zoomScalePageLayoutView="100" workbookViewId="0">
      <selection pane="topLeft" activeCell="C264" activeCellId="0" sqref="C26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7.71"/>
    <col collapsed="false" customWidth="true" hidden="false" outlineLevel="0" max="3" min="3" style="1" width="14.14"/>
    <col collapsed="false" customWidth="true" hidden="false" outlineLevel="0" max="4" min="4" style="1" width="10.57"/>
    <col collapsed="false" customWidth="true" hidden="false" outlineLevel="0" max="10" min="10" style="1" width="10.57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1" t="s">
        <v>15</v>
      </c>
      <c r="B2" s="1" t="n">
        <v>1</v>
      </c>
      <c r="C2" s="1" t="s">
        <v>16</v>
      </c>
      <c r="D2" s="1" t="n">
        <v>1386282</v>
      </c>
      <c r="E2" s="1" t="n">
        <v>518481</v>
      </c>
      <c r="F2" s="1" t="n">
        <v>525482</v>
      </c>
      <c r="G2" s="1" t="n">
        <v>2</v>
      </c>
      <c r="H2" s="1" t="n">
        <f aca="false">E2+F2+G2</f>
        <v>1043965</v>
      </c>
      <c r="I2" s="1" t="n">
        <v>0</v>
      </c>
      <c r="J2" s="1" t="n">
        <v>11628</v>
      </c>
      <c r="K2" s="1" t="n">
        <f aca="false">H2+J2</f>
        <v>1055593</v>
      </c>
      <c r="L2" s="1" t="n">
        <f aca="false">K2/D2*100</f>
        <v>76.1456182796863</v>
      </c>
      <c r="M2" s="1" t="n">
        <v>75.4864578010142</v>
      </c>
      <c r="N2" s="1" t="n">
        <v>75.2174653637114</v>
      </c>
      <c r="O2" s="1" t="n">
        <v>1.38888888888889</v>
      </c>
    </row>
    <row r="3" customFormat="false" ht="15" hidden="false" customHeight="false" outlineLevel="0" collapsed="false">
      <c r="A3" s="1" t="str">
        <f aca="false">A2</f>
        <v>Andhra Pradesh</v>
      </c>
      <c r="B3" s="1" t="n">
        <v>2</v>
      </c>
      <c r="C3" s="1" t="s">
        <v>17</v>
      </c>
      <c r="D3" s="1" t="n">
        <v>1425355</v>
      </c>
      <c r="E3" s="1" t="n">
        <v>520741</v>
      </c>
      <c r="F3" s="1" t="n">
        <v>500992</v>
      </c>
      <c r="G3" s="1" t="n">
        <v>14</v>
      </c>
      <c r="H3" s="1" t="n">
        <f aca="false">E3+F3+G3</f>
        <v>1021747</v>
      </c>
      <c r="I3" s="1" t="n">
        <v>0</v>
      </c>
      <c r="J3" s="1" t="n">
        <v>3447</v>
      </c>
      <c r="K3" s="1" t="n">
        <f aca="false">H3+J3</f>
        <v>1025194</v>
      </c>
      <c r="L3" s="1" t="n">
        <f aca="false">K3/D3*100</f>
        <v>71.9255203089757</v>
      </c>
      <c r="M3" s="1" t="n">
        <v>71.7872331626217</v>
      </c>
      <c r="N3" s="1" t="n">
        <v>71.6293287466955</v>
      </c>
      <c r="O3" s="1" t="n">
        <v>12.0689655172414</v>
      </c>
    </row>
    <row r="4" customFormat="false" ht="15" hidden="false" customHeight="false" outlineLevel="0" collapsed="false">
      <c r="A4" s="1" t="str">
        <f aca="false">A3</f>
        <v>Andhra Pradesh</v>
      </c>
      <c r="B4" s="1" t="n">
        <v>3</v>
      </c>
      <c r="C4" s="1" t="s">
        <v>18</v>
      </c>
      <c r="D4" s="1" t="n">
        <v>1550810</v>
      </c>
      <c r="E4" s="1" t="n">
        <v>550760</v>
      </c>
      <c r="F4" s="1" t="n">
        <v>569382</v>
      </c>
      <c r="G4" s="1" t="n">
        <v>0</v>
      </c>
      <c r="H4" s="1" t="n">
        <f aca="false">E4+F4+G4</f>
        <v>1120142</v>
      </c>
      <c r="I4" s="1" t="n">
        <v>0</v>
      </c>
      <c r="J4" s="1" t="n">
        <v>7083</v>
      </c>
      <c r="K4" s="1" t="n">
        <f aca="false">H4+J4</f>
        <v>1127225</v>
      </c>
      <c r="L4" s="1" t="n">
        <f aca="false">K4/D4*100</f>
        <v>72.6862091423192</v>
      </c>
      <c r="M4" s="1" t="n">
        <v>70.8662835732171</v>
      </c>
      <c r="N4" s="1" t="n">
        <v>73.6350127837217</v>
      </c>
      <c r="O4" s="1" t="n">
        <v>0</v>
      </c>
    </row>
    <row r="5" customFormat="false" ht="15" hidden="false" customHeight="false" outlineLevel="0" collapsed="false">
      <c r="A5" s="1" t="str">
        <f aca="false">A4</f>
        <v>Andhra Pradesh</v>
      </c>
      <c r="B5" s="1" t="n">
        <v>4</v>
      </c>
      <c r="C5" s="1" t="s">
        <v>19</v>
      </c>
      <c r="D5" s="1" t="n">
        <v>1496193</v>
      </c>
      <c r="E5" s="1" t="n">
        <v>467172</v>
      </c>
      <c r="F5" s="1" t="n">
        <v>559329</v>
      </c>
      <c r="G5" s="1" t="n">
        <v>4</v>
      </c>
      <c r="H5" s="1" t="n">
        <f aca="false">E5+F5+G5</f>
        <v>1026505</v>
      </c>
      <c r="I5" s="1" t="n">
        <v>0</v>
      </c>
      <c r="J5" s="1" t="n">
        <v>7527</v>
      </c>
      <c r="K5" s="1" t="n">
        <f aca="false">H5+J5</f>
        <v>1034032</v>
      </c>
      <c r="L5" s="1" t="n">
        <f aca="false">K5/D5*100</f>
        <v>69.1108700548659</v>
      </c>
      <c r="M5" s="1" t="n">
        <v>64.497477655089</v>
      </c>
      <c r="N5" s="1" t="n">
        <v>72.4944818656543</v>
      </c>
      <c r="O5" s="1" t="n">
        <v>4.76190476190476</v>
      </c>
    </row>
    <row r="6" customFormat="false" ht="15" hidden="false" customHeight="false" outlineLevel="0" collapsed="false">
      <c r="A6" s="1" t="str">
        <f aca="false">A5</f>
        <v>Andhra Pradesh</v>
      </c>
      <c r="B6" s="1" t="n">
        <v>5</v>
      </c>
      <c r="C6" s="1" t="s">
        <v>20</v>
      </c>
      <c r="D6" s="1" t="n">
        <v>1445354</v>
      </c>
      <c r="E6" s="1" t="n">
        <v>546010</v>
      </c>
      <c r="F6" s="1" t="n">
        <v>546798</v>
      </c>
      <c r="G6" s="1" t="n">
        <v>0</v>
      </c>
      <c r="H6" s="1" t="n">
        <f aca="false">E6+F6+G6</f>
        <v>1092808</v>
      </c>
      <c r="I6" s="1" t="n">
        <v>0</v>
      </c>
      <c r="J6" s="1" t="n">
        <v>6976</v>
      </c>
      <c r="K6" s="1" t="n">
        <f aca="false">H6+J6</f>
        <v>1099784</v>
      </c>
      <c r="L6" s="1" t="n">
        <f aca="false">K6/D6*100</f>
        <v>76.0909784039066</v>
      </c>
      <c r="M6" s="1" t="n">
        <v>76.0717067196837</v>
      </c>
      <c r="N6" s="1" t="n">
        <v>75.1767374716436</v>
      </c>
      <c r="O6" s="1" t="n">
        <v>0</v>
      </c>
    </row>
    <row r="7" customFormat="false" ht="15" hidden="false" customHeight="false" outlineLevel="0" collapsed="false">
      <c r="A7" s="1" t="str">
        <f aca="false">A6</f>
        <v>Andhra Pradesh</v>
      </c>
      <c r="B7" s="1" t="n">
        <v>6</v>
      </c>
      <c r="C7" s="1" t="s">
        <v>21</v>
      </c>
      <c r="D7" s="1" t="n">
        <v>1536166</v>
      </c>
      <c r="E7" s="1" t="n">
        <v>605044</v>
      </c>
      <c r="F7" s="1" t="n">
        <v>583040</v>
      </c>
      <c r="G7" s="1" t="n">
        <v>0</v>
      </c>
      <c r="H7" s="1" t="n">
        <f aca="false">E7+F7+G7</f>
        <v>1188084</v>
      </c>
      <c r="I7" s="1" t="n">
        <v>0</v>
      </c>
      <c r="J7" s="1" t="n">
        <v>5464</v>
      </c>
      <c r="K7" s="1" t="n">
        <f aca="false">H7+J7</f>
        <v>1193548</v>
      </c>
      <c r="L7" s="1" t="n">
        <f aca="false">K7/D7*100</f>
        <v>77.6965510237826</v>
      </c>
      <c r="M7" s="1" t="n">
        <v>78.0326371952596</v>
      </c>
      <c r="N7" s="1" t="n">
        <v>76.6636380251855</v>
      </c>
      <c r="O7" s="1" t="n">
        <v>0</v>
      </c>
    </row>
    <row r="8" customFormat="false" ht="15" hidden="false" customHeight="false" outlineLevel="0" collapsed="false">
      <c r="A8" s="1" t="str">
        <f aca="false">A7</f>
        <v>Andhra Pradesh</v>
      </c>
      <c r="B8" s="1" t="n">
        <v>7</v>
      </c>
      <c r="C8" s="1" t="s">
        <v>22</v>
      </c>
      <c r="D8" s="1" t="n">
        <v>3183083</v>
      </c>
      <c r="E8" s="1" t="n">
        <v>877156</v>
      </c>
      <c r="F8" s="1" t="n">
        <v>741285</v>
      </c>
      <c r="G8" s="1" t="n">
        <v>0</v>
      </c>
      <c r="H8" s="1" t="n">
        <f aca="false">E8+F8+G8</f>
        <v>1618441</v>
      </c>
      <c r="I8" s="1" t="n">
        <v>0</v>
      </c>
      <c r="J8" s="1" t="n">
        <v>6418</v>
      </c>
      <c r="K8" s="1" t="n">
        <f aca="false">H8+J8</f>
        <v>1624859</v>
      </c>
      <c r="L8" s="1" t="n">
        <f aca="false">K8/D8*100</f>
        <v>51.0467053482426</v>
      </c>
      <c r="M8" s="1" t="n">
        <v>50.9230409291541</v>
      </c>
      <c r="N8" s="1" t="n">
        <v>50.796534280988</v>
      </c>
      <c r="O8" s="1" t="n">
        <v>0</v>
      </c>
    </row>
    <row r="9" customFormat="false" ht="15" hidden="false" customHeight="false" outlineLevel="0" collapsed="false">
      <c r="A9" s="1" t="str">
        <f aca="false">A8</f>
        <v>Andhra Pradesh</v>
      </c>
      <c r="B9" s="1" t="n">
        <v>8</v>
      </c>
      <c r="C9" s="1" t="s">
        <v>23</v>
      </c>
      <c r="D9" s="1" t="n">
        <v>1893741</v>
      </c>
      <c r="E9" s="1" t="n">
        <v>546289</v>
      </c>
      <c r="F9" s="1" t="n">
        <v>457397</v>
      </c>
      <c r="G9" s="1" t="n">
        <v>3</v>
      </c>
      <c r="H9" s="1" t="n">
        <f aca="false">E9+F9+G9</f>
        <v>1003689</v>
      </c>
      <c r="I9" s="1" t="n">
        <v>0</v>
      </c>
      <c r="J9" s="1" t="n">
        <v>1074</v>
      </c>
      <c r="K9" s="1" t="n">
        <f aca="false">H9+J9</f>
        <v>1004763</v>
      </c>
      <c r="L9" s="1" t="n">
        <f aca="false">K9/D9*100</f>
        <v>53.0570442314973</v>
      </c>
      <c r="M9" s="1" t="n">
        <v>53.9652888430964</v>
      </c>
      <c r="N9" s="1" t="n">
        <v>51.9346758773543</v>
      </c>
      <c r="O9" s="1" t="n">
        <v>1.35135135135135</v>
      </c>
    </row>
    <row r="10" customFormat="false" ht="15" hidden="false" customHeight="false" outlineLevel="0" collapsed="false">
      <c r="A10" s="1" t="str">
        <f aca="false">A9</f>
        <v>Andhra Pradesh</v>
      </c>
      <c r="B10" s="1" t="n">
        <v>9</v>
      </c>
      <c r="C10" s="1" t="s">
        <v>24</v>
      </c>
      <c r="D10" s="1" t="n">
        <v>1823217</v>
      </c>
      <c r="E10" s="1" t="n">
        <v>525811</v>
      </c>
      <c r="F10" s="1" t="n">
        <v>445415</v>
      </c>
      <c r="G10" s="1" t="n">
        <v>0</v>
      </c>
      <c r="H10" s="1" t="n">
        <f aca="false">E10+F10+G10</f>
        <v>971226</v>
      </c>
      <c r="I10" s="1" t="n">
        <v>0</v>
      </c>
      <c r="J10" s="1" t="n">
        <v>544</v>
      </c>
      <c r="K10" s="1" t="n">
        <f aca="false">H10+J10</f>
        <v>971770</v>
      </c>
      <c r="L10" s="1" t="n">
        <f aca="false">K10/D10*100</f>
        <v>53.2997443529761</v>
      </c>
      <c r="M10" s="1" t="n">
        <v>54.762338713289</v>
      </c>
      <c r="N10" s="1" t="n">
        <v>51.6519605398805</v>
      </c>
      <c r="O10" s="1" t="n">
        <v>0</v>
      </c>
    </row>
    <row r="11" customFormat="false" ht="15" hidden="false" customHeight="false" outlineLevel="0" collapsed="false">
      <c r="A11" s="1" t="str">
        <f aca="false">A10</f>
        <v>Andhra Pradesh</v>
      </c>
      <c r="B11" s="1" t="n">
        <v>10</v>
      </c>
      <c r="C11" s="1" t="s">
        <v>25</v>
      </c>
      <c r="D11" s="1" t="n">
        <v>2185164</v>
      </c>
      <c r="E11" s="1" t="n">
        <v>695012</v>
      </c>
      <c r="F11" s="1" t="n">
        <v>617108</v>
      </c>
      <c r="G11" s="1" t="n">
        <v>0</v>
      </c>
      <c r="H11" s="1" t="n">
        <f aca="false">E11+F11+G11</f>
        <v>1312120</v>
      </c>
      <c r="I11" s="1" t="n">
        <v>0</v>
      </c>
      <c r="J11" s="1" t="n">
        <v>10192</v>
      </c>
      <c r="K11" s="1" t="n">
        <f aca="false">H11+J11</f>
        <v>1322312</v>
      </c>
      <c r="L11" s="1" t="n">
        <f aca="false">K11/D11*100</f>
        <v>60.5131697208997</v>
      </c>
      <c r="M11" s="1" t="n">
        <v>60.2910750797433</v>
      </c>
      <c r="N11" s="1" t="n">
        <v>59.8082980393677</v>
      </c>
      <c r="O11" s="1" t="n">
        <v>0</v>
      </c>
    </row>
    <row r="12" customFormat="false" ht="15" hidden="false" customHeight="false" outlineLevel="0" collapsed="false">
      <c r="A12" s="1" t="str">
        <f aca="false">A11</f>
        <v>Andhra Pradesh</v>
      </c>
      <c r="B12" s="1" t="n">
        <v>11</v>
      </c>
      <c r="C12" s="1" t="s">
        <v>26</v>
      </c>
      <c r="D12" s="1" t="n">
        <v>1418668</v>
      </c>
      <c r="E12" s="1" t="n">
        <v>509912</v>
      </c>
      <c r="F12" s="1" t="n">
        <v>499391</v>
      </c>
      <c r="G12" s="1" t="n">
        <v>1</v>
      </c>
      <c r="H12" s="1" t="n">
        <f aca="false">E12+F12+G12</f>
        <v>1009304</v>
      </c>
      <c r="I12" s="1" t="n">
        <v>0</v>
      </c>
      <c r="J12" s="1" t="n">
        <v>6216</v>
      </c>
      <c r="K12" s="1" t="n">
        <f aca="false">H12+J12</f>
        <v>1015520</v>
      </c>
      <c r="L12" s="1" t="n">
        <f aca="false">K12/D12*100</f>
        <v>71.5826394900005</v>
      </c>
      <c r="M12" s="1" t="n">
        <v>71.5496254221806</v>
      </c>
      <c r="N12" s="1" t="n">
        <v>70.8001525477314</v>
      </c>
      <c r="O12" s="1" t="n">
        <v>0.636942675159236</v>
      </c>
    </row>
    <row r="13" customFormat="false" ht="15" hidden="false" customHeight="false" outlineLevel="0" collapsed="false">
      <c r="A13" s="1" t="str">
        <f aca="false">A12</f>
        <v>Andhra Pradesh</v>
      </c>
      <c r="B13" s="1" t="n">
        <v>12</v>
      </c>
      <c r="C13" s="1" t="s">
        <v>27</v>
      </c>
      <c r="D13" s="1" t="n">
        <v>1477305</v>
      </c>
      <c r="E13" s="1" t="n">
        <v>569056</v>
      </c>
      <c r="F13" s="1" t="n">
        <v>537781</v>
      </c>
      <c r="G13" s="1" t="n">
        <v>28</v>
      </c>
      <c r="H13" s="1" t="n">
        <f aca="false">E13+F13+G13</f>
        <v>1106865</v>
      </c>
      <c r="I13" s="1" t="n">
        <v>0</v>
      </c>
      <c r="J13" s="1" t="n">
        <v>9294</v>
      </c>
      <c r="K13" s="1" t="n">
        <f aca="false">H13+J13</f>
        <v>1116159</v>
      </c>
      <c r="L13" s="1" t="n">
        <f aca="false">K13/D13*100</f>
        <v>75.553727903175</v>
      </c>
      <c r="M13" s="1" t="n">
        <v>76.4280840867944</v>
      </c>
      <c r="N13" s="1" t="n">
        <v>73.4614286553406</v>
      </c>
      <c r="O13" s="1" t="n">
        <v>18.5430463576159</v>
      </c>
    </row>
    <row r="14" customFormat="false" ht="15" hidden="false" customHeight="false" outlineLevel="0" collapsed="false">
      <c r="A14" s="1" t="str">
        <f aca="false">A13</f>
        <v>Andhra Pradesh</v>
      </c>
      <c r="B14" s="1" t="n">
        <v>13</v>
      </c>
      <c r="C14" s="1" t="s">
        <v>28</v>
      </c>
      <c r="D14" s="1" t="n">
        <v>1494343</v>
      </c>
      <c r="E14" s="1" t="n">
        <v>597237</v>
      </c>
      <c r="F14" s="1" t="n">
        <v>583448</v>
      </c>
      <c r="G14" s="1" t="n">
        <v>2</v>
      </c>
      <c r="H14" s="1" t="n">
        <f aca="false">E14+F14+G14</f>
        <v>1180687</v>
      </c>
      <c r="I14" s="1" t="n">
        <v>0</v>
      </c>
      <c r="J14" s="1" t="n">
        <v>10980</v>
      </c>
      <c r="K14" s="1" t="n">
        <f aca="false">H14+J14</f>
        <v>1191667</v>
      </c>
      <c r="L14" s="1" t="n">
        <f aca="false">K14/D14*100</f>
        <v>79.7452124445325</v>
      </c>
      <c r="M14" s="1" t="n">
        <v>80.0854173650687</v>
      </c>
      <c r="N14" s="1" t="n">
        <v>77.9813656709735</v>
      </c>
      <c r="O14" s="1" t="n">
        <v>4.44444444444444</v>
      </c>
    </row>
    <row r="15" customFormat="false" ht="15" hidden="false" customHeight="false" outlineLevel="0" collapsed="false">
      <c r="A15" s="1" t="str">
        <f aca="false">A14</f>
        <v>Andhra Pradesh</v>
      </c>
      <c r="B15" s="1" t="n">
        <v>14</v>
      </c>
      <c r="C15" s="1" t="s">
        <v>29</v>
      </c>
      <c r="D15" s="1" t="n">
        <v>1492240</v>
      </c>
      <c r="E15" s="1" t="n">
        <v>620408</v>
      </c>
      <c r="F15" s="1" t="n">
        <v>588076</v>
      </c>
      <c r="G15" s="1" t="n">
        <v>9</v>
      </c>
      <c r="H15" s="1" t="n">
        <f aca="false">E15+F15+G15</f>
        <v>1208493</v>
      </c>
      <c r="I15" s="1" t="n">
        <v>0</v>
      </c>
      <c r="J15" s="1" t="n">
        <v>4245</v>
      </c>
      <c r="K15" s="1" t="n">
        <f aca="false">H15+J15</f>
        <v>1212738</v>
      </c>
      <c r="L15" s="1" t="n">
        <f aca="false">K15/D15*100</f>
        <v>81.2696349112743</v>
      </c>
      <c r="M15" s="1" t="n">
        <v>81.9927523782085</v>
      </c>
      <c r="N15" s="1" t="n">
        <v>79.9947765264717</v>
      </c>
      <c r="O15" s="1" t="n">
        <v>15.5172413793103</v>
      </c>
    </row>
    <row r="16" customFormat="false" ht="15" hidden="false" customHeight="false" outlineLevel="0" collapsed="false">
      <c r="A16" s="1" t="str">
        <f aca="false">A15</f>
        <v>Andhra Pradesh</v>
      </c>
      <c r="B16" s="1" t="n">
        <v>15</v>
      </c>
      <c r="C16" s="1" t="s">
        <v>30</v>
      </c>
      <c r="D16" s="1" t="n">
        <v>1537777</v>
      </c>
      <c r="E16" s="1" t="n">
        <v>590443</v>
      </c>
      <c r="F16" s="1" t="n">
        <v>580206</v>
      </c>
      <c r="G16" s="1" t="n">
        <v>74</v>
      </c>
      <c r="H16" s="1" t="n">
        <f aca="false">E16+F16+G16</f>
        <v>1170723</v>
      </c>
      <c r="I16" s="1" t="n">
        <v>0</v>
      </c>
      <c r="J16" s="1" t="n">
        <v>5930</v>
      </c>
      <c r="K16" s="1" t="n">
        <f aca="false">H16+J16</f>
        <v>1176653</v>
      </c>
      <c r="L16" s="1" t="n">
        <f aca="false">K16/D16*100</f>
        <v>76.5164910126761</v>
      </c>
      <c r="M16" s="1" t="n">
        <v>76.5371782341214</v>
      </c>
      <c r="N16" s="1" t="n">
        <v>75.767163984199</v>
      </c>
      <c r="O16" s="1" t="n">
        <v>47.4358974358974</v>
      </c>
    </row>
    <row r="17" customFormat="false" ht="15" hidden="false" customHeight="false" outlineLevel="0" collapsed="false">
      <c r="A17" s="1" t="str">
        <f aca="false">A16</f>
        <v>Andhra Pradesh</v>
      </c>
      <c r="B17" s="1" t="n">
        <v>16</v>
      </c>
      <c r="C17" s="1" t="s">
        <v>31</v>
      </c>
      <c r="D17" s="1" t="n">
        <v>1387288</v>
      </c>
      <c r="E17" s="1" t="n">
        <v>560443</v>
      </c>
      <c r="F17" s="1" t="n">
        <v>560406</v>
      </c>
      <c r="G17" s="1" t="n">
        <v>4</v>
      </c>
      <c r="H17" s="1" t="n">
        <f aca="false">E17+F17+G17</f>
        <v>1120853</v>
      </c>
      <c r="I17" s="1" t="n">
        <v>0</v>
      </c>
      <c r="J17" s="1" t="n">
        <v>5765</v>
      </c>
      <c r="K17" s="1" t="n">
        <f aca="false">H17+J17</f>
        <v>1126618</v>
      </c>
      <c r="L17" s="1" t="n">
        <f aca="false">K17/D17*100</f>
        <v>81.2101020119831</v>
      </c>
      <c r="M17" s="1" t="n">
        <v>81.4589095750479</v>
      </c>
      <c r="N17" s="1" t="n">
        <v>80.1943303616147</v>
      </c>
      <c r="O17" s="1" t="n">
        <v>5.06329113924051</v>
      </c>
    </row>
    <row r="18" customFormat="false" ht="15" hidden="false" customHeight="false" outlineLevel="0" collapsed="false">
      <c r="A18" s="1" t="str">
        <f aca="false">A17</f>
        <v>Andhra Pradesh</v>
      </c>
      <c r="B18" s="1" t="n">
        <v>17</v>
      </c>
      <c r="C18" s="1" t="s">
        <v>32</v>
      </c>
      <c r="D18" s="1" t="n">
        <v>1440267</v>
      </c>
      <c r="E18" s="1" t="n">
        <v>586887</v>
      </c>
      <c r="F18" s="1" t="n">
        <v>592349</v>
      </c>
      <c r="G18" s="1" t="n">
        <v>0</v>
      </c>
      <c r="H18" s="1" t="n">
        <f aca="false">E18+F18+G18</f>
        <v>1179236</v>
      </c>
      <c r="I18" s="1" t="n">
        <v>0</v>
      </c>
      <c r="J18" s="1" t="n">
        <v>9639</v>
      </c>
      <c r="K18" s="1" t="n">
        <f aca="false">H18+J18</f>
        <v>1188875</v>
      </c>
      <c r="L18" s="1" t="n">
        <f aca="false">K18/D18*100</f>
        <v>82.5454585851096</v>
      </c>
      <c r="M18" s="1" t="n">
        <v>82.4184574248471</v>
      </c>
      <c r="N18" s="1" t="n">
        <v>81.3884213491251</v>
      </c>
      <c r="O18" s="1" t="n">
        <v>0</v>
      </c>
    </row>
    <row r="19" customFormat="false" ht="15" hidden="false" customHeight="false" outlineLevel="0" collapsed="false">
      <c r="A19" s="1" t="str">
        <f aca="false">A18</f>
        <v>Andhra Pradesh</v>
      </c>
      <c r="B19" s="1" t="n">
        <v>18</v>
      </c>
      <c r="C19" s="1" t="s">
        <v>33</v>
      </c>
      <c r="D19" s="1" t="n">
        <v>1272340</v>
      </c>
      <c r="E19" s="1" t="n">
        <v>450038</v>
      </c>
      <c r="F19" s="1" t="n">
        <v>456802</v>
      </c>
      <c r="G19" s="1" t="n">
        <v>24</v>
      </c>
      <c r="H19" s="1" t="n">
        <f aca="false">E19+F19+G19</f>
        <v>906864</v>
      </c>
      <c r="I19" s="1" t="n">
        <v>0</v>
      </c>
      <c r="J19" s="1" t="n">
        <v>6974</v>
      </c>
      <c r="K19" s="1" t="n">
        <f aca="false">H19+J19</f>
        <v>913838</v>
      </c>
      <c r="L19" s="1" t="n">
        <f aca="false">K19/D19*100</f>
        <v>71.8234119810742</v>
      </c>
      <c r="M19" s="1" t="n">
        <v>72.4091382270269</v>
      </c>
      <c r="N19" s="1" t="n">
        <v>70.2735549217426</v>
      </c>
      <c r="O19" s="1" t="n">
        <v>29.6296296296296</v>
      </c>
    </row>
    <row r="20" customFormat="false" ht="15" hidden="false" customHeight="false" outlineLevel="0" collapsed="false">
      <c r="A20" s="1" t="str">
        <f aca="false">A19</f>
        <v>Andhra Pradesh</v>
      </c>
      <c r="B20" s="1" t="n">
        <v>19</v>
      </c>
      <c r="C20" s="1" t="s">
        <v>34</v>
      </c>
      <c r="D20" s="1" t="n">
        <v>1413726</v>
      </c>
      <c r="E20" s="1" t="n">
        <v>503114</v>
      </c>
      <c r="F20" s="1" t="n">
        <v>543763</v>
      </c>
      <c r="G20" s="1" t="n">
        <v>0</v>
      </c>
      <c r="H20" s="1" t="n">
        <f aca="false">E20+F20+G20</f>
        <v>1046877</v>
      </c>
      <c r="I20" s="1" t="n">
        <v>0</v>
      </c>
      <c r="J20" s="1" t="n">
        <v>7763</v>
      </c>
      <c r="K20" s="1" t="n">
        <f aca="false">H20+J20</f>
        <v>1054640</v>
      </c>
      <c r="L20" s="1" t="n">
        <f aca="false">K20/D20*100</f>
        <v>74.6000285769661</v>
      </c>
      <c r="M20" s="1" t="n">
        <v>71.699812596641</v>
      </c>
      <c r="N20" s="1" t="n">
        <v>77.0378230729671</v>
      </c>
      <c r="O20" s="1" t="n">
        <v>0</v>
      </c>
    </row>
    <row r="21" customFormat="false" ht="15" hidden="false" customHeight="false" outlineLevel="0" collapsed="false">
      <c r="A21" s="1" t="str">
        <f aca="false">A20</f>
        <v>Andhra Pradesh</v>
      </c>
      <c r="B21" s="1" t="n">
        <v>20</v>
      </c>
      <c r="C21" s="1" t="s">
        <v>35</v>
      </c>
      <c r="D21" s="1" t="n">
        <v>1403736</v>
      </c>
      <c r="E21" s="1" t="n">
        <v>554616</v>
      </c>
      <c r="F21" s="1" t="n">
        <v>564891</v>
      </c>
      <c r="G21" s="1" t="n">
        <v>0</v>
      </c>
      <c r="H21" s="1" t="n">
        <f aca="false">E21+F21+G21</f>
        <v>1119507</v>
      </c>
      <c r="I21" s="1" t="n">
        <v>0</v>
      </c>
      <c r="J21" s="1" t="n">
        <v>6108</v>
      </c>
      <c r="K21" s="1" t="n">
        <f aca="false">H21+J21</f>
        <v>1125615</v>
      </c>
      <c r="L21" s="1" t="n">
        <f aca="false">K21/D21*100</f>
        <v>80.187086460702</v>
      </c>
      <c r="M21" s="1" t="n">
        <v>79.3444330312819</v>
      </c>
      <c r="N21" s="1" t="n">
        <v>80.3834961472511</v>
      </c>
      <c r="O21" s="1" t="n">
        <v>0</v>
      </c>
    </row>
    <row r="22" customFormat="false" ht="15" hidden="false" customHeight="false" outlineLevel="0" collapsed="false">
      <c r="A22" s="1" t="str">
        <f aca="false">A21</f>
        <v>Andhra Pradesh</v>
      </c>
      <c r="B22" s="1" t="n">
        <v>21</v>
      </c>
      <c r="C22" s="1" t="s">
        <v>36</v>
      </c>
      <c r="D22" s="1" t="n">
        <v>1723011</v>
      </c>
      <c r="E22" s="1" t="n">
        <v>583232</v>
      </c>
      <c r="F22" s="1" t="n">
        <v>576946</v>
      </c>
      <c r="G22" s="1" t="n">
        <v>0</v>
      </c>
      <c r="H22" s="1" t="n">
        <f aca="false">E22+F22+G22</f>
        <v>1160178</v>
      </c>
      <c r="I22" s="1" t="n">
        <v>0</v>
      </c>
      <c r="J22" s="1" t="n">
        <v>3404</v>
      </c>
      <c r="K22" s="1" t="n">
        <f aca="false">H22+J22</f>
        <v>1163582</v>
      </c>
      <c r="L22" s="1" t="n">
        <f aca="false">K22/D22*100</f>
        <v>67.5318961979929</v>
      </c>
      <c r="M22" s="1" t="n">
        <v>66.8090136818086</v>
      </c>
      <c r="N22" s="1" t="n">
        <v>68.0625715195772</v>
      </c>
      <c r="O22" s="1" t="n">
        <v>0</v>
      </c>
    </row>
    <row r="23" customFormat="false" ht="15" hidden="false" customHeight="false" outlineLevel="0" collapsed="false">
      <c r="A23" s="1" t="str">
        <f aca="false">A22</f>
        <v>Andhra Pradesh</v>
      </c>
      <c r="B23" s="1" t="n">
        <v>22</v>
      </c>
      <c r="C23" s="1" t="s">
        <v>37</v>
      </c>
      <c r="D23" s="1" t="n">
        <v>1401474</v>
      </c>
      <c r="E23" s="1" t="n">
        <v>561825</v>
      </c>
      <c r="F23" s="1" t="n">
        <v>582294</v>
      </c>
      <c r="G23" s="1" t="n">
        <v>1</v>
      </c>
      <c r="H23" s="1" t="n">
        <f aca="false">E23+F23+G23</f>
        <v>1144120</v>
      </c>
      <c r="I23" s="1" t="n">
        <v>0</v>
      </c>
      <c r="J23" s="1" t="n">
        <v>5206</v>
      </c>
      <c r="K23" s="1" t="n">
        <f aca="false">H23+J23</f>
        <v>1149326</v>
      </c>
      <c r="L23" s="1" t="n">
        <f aca="false">K23/D23*100</f>
        <v>82.0083711863367</v>
      </c>
      <c r="M23" s="1" t="n">
        <v>81.6475563500022</v>
      </c>
      <c r="N23" s="1" t="n">
        <v>81.7785005856429</v>
      </c>
      <c r="O23" s="1" t="n">
        <v>1.5625</v>
      </c>
    </row>
    <row r="24" customFormat="false" ht="15" hidden="false" customHeight="false" outlineLevel="0" collapsed="false">
      <c r="A24" s="1" t="str">
        <f aca="false">A23</f>
        <v>Andhra Pradesh</v>
      </c>
      <c r="B24" s="1" t="n">
        <v>23</v>
      </c>
      <c r="C24" s="1" t="s">
        <v>38</v>
      </c>
      <c r="D24" s="1" t="n">
        <v>1418290</v>
      </c>
      <c r="E24" s="1" t="n">
        <v>555263</v>
      </c>
      <c r="F24" s="1" t="n">
        <v>538635</v>
      </c>
      <c r="G24" s="1" t="n">
        <v>35</v>
      </c>
      <c r="H24" s="1" t="n">
        <f aca="false">E24+F24+G24</f>
        <v>1093933</v>
      </c>
      <c r="I24" s="1" t="n">
        <v>0</v>
      </c>
      <c r="J24" s="1" t="n">
        <v>7797</v>
      </c>
      <c r="K24" s="1" t="n">
        <f aca="false">H24+J24</f>
        <v>1101730</v>
      </c>
      <c r="L24" s="1" t="n">
        <f aca="false">K24/D24*100</f>
        <v>77.6801641413251</v>
      </c>
      <c r="M24" s="1" t="n">
        <v>78.3285135916715</v>
      </c>
      <c r="N24" s="1" t="n">
        <v>75.9764440369561</v>
      </c>
      <c r="O24" s="1" t="n">
        <v>25.5474452554745</v>
      </c>
    </row>
    <row r="25" customFormat="false" ht="15" hidden="false" customHeight="false" outlineLevel="0" collapsed="false">
      <c r="A25" s="1" t="str">
        <f aca="false">A24</f>
        <v>Andhra Pradesh</v>
      </c>
      <c r="B25" s="1" t="n">
        <v>24</v>
      </c>
      <c r="C25" s="1" t="s">
        <v>39</v>
      </c>
      <c r="D25" s="1" t="n">
        <v>1357865</v>
      </c>
      <c r="E25" s="1" t="n">
        <v>565013</v>
      </c>
      <c r="F25" s="1" t="n">
        <v>548900</v>
      </c>
      <c r="G25" s="1" t="n">
        <v>1</v>
      </c>
      <c r="H25" s="1" t="n">
        <f aca="false">E25+F25+G25</f>
        <v>1113914</v>
      </c>
      <c r="I25" s="1" t="n">
        <v>0</v>
      </c>
      <c r="J25" s="1" t="n">
        <v>8072</v>
      </c>
      <c r="K25" s="1" t="n">
        <f aca="false">H25+J25</f>
        <v>1121986</v>
      </c>
      <c r="L25" s="1" t="n">
        <f aca="false">K25/D25*100</f>
        <v>82.6286854731509</v>
      </c>
      <c r="M25" s="1" t="n">
        <v>82.8028940777509</v>
      </c>
      <c r="N25" s="1" t="n">
        <v>81.310688600357</v>
      </c>
      <c r="O25" s="1" t="n">
        <v>1.96078431372549</v>
      </c>
    </row>
    <row r="26" customFormat="false" ht="15" hidden="false" customHeight="false" outlineLevel="0" collapsed="false">
      <c r="A26" s="1" t="str">
        <f aca="false">A25</f>
        <v>Andhra Pradesh</v>
      </c>
      <c r="B26" s="1" t="n">
        <v>25</v>
      </c>
      <c r="C26" s="1" t="s">
        <v>40</v>
      </c>
      <c r="D26" s="1" t="n">
        <v>1421276</v>
      </c>
      <c r="E26" s="1" t="n">
        <v>575432</v>
      </c>
      <c r="F26" s="1" t="n">
        <v>574132</v>
      </c>
      <c r="G26" s="1" t="n">
        <v>11</v>
      </c>
      <c r="H26" s="1" t="n">
        <f aca="false">E26+F26+G26</f>
        <v>1149575</v>
      </c>
      <c r="I26" s="1" t="n">
        <v>0</v>
      </c>
      <c r="J26" s="1" t="n">
        <v>7051</v>
      </c>
      <c r="K26" s="1" t="n">
        <f aca="false">H26+J26</f>
        <v>1156626</v>
      </c>
      <c r="L26" s="1" t="n">
        <f aca="false">K26/D26*100</f>
        <v>81.3794083626263</v>
      </c>
      <c r="M26" s="1" t="n">
        <v>81.4105856171312</v>
      </c>
      <c r="N26" s="1" t="n">
        <v>80.4256255016691</v>
      </c>
      <c r="O26" s="1" t="n">
        <v>10.6796116504854</v>
      </c>
    </row>
    <row r="27" customFormat="false" ht="15" hidden="false" customHeight="false" outlineLevel="0" collapsed="false">
      <c r="A27" s="1" t="str">
        <f aca="false">A26</f>
        <v>Andhra Pradesh</v>
      </c>
      <c r="B27" s="1" t="n">
        <v>26</v>
      </c>
      <c r="C27" s="1" t="s">
        <v>41</v>
      </c>
      <c r="D27" s="1" t="n">
        <v>1325028</v>
      </c>
      <c r="E27" s="1" t="n">
        <v>536507</v>
      </c>
      <c r="F27" s="1" t="n">
        <v>546670</v>
      </c>
      <c r="G27" s="1" t="n">
        <v>0</v>
      </c>
      <c r="H27" s="1" t="n">
        <f aca="false">E27+F27+G27</f>
        <v>1083177</v>
      </c>
      <c r="I27" s="1" t="n">
        <v>0</v>
      </c>
      <c r="J27" s="1" t="n">
        <v>5925</v>
      </c>
      <c r="K27" s="1" t="n">
        <f aca="false">H27+J27</f>
        <v>1089102</v>
      </c>
      <c r="L27" s="1" t="n">
        <f aca="false">K27/D27*100</f>
        <v>82.194640415146</v>
      </c>
      <c r="M27" s="1" t="n">
        <v>82.2670446965666</v>
      </c>
      <c r="N27" s="1" t="n">
        <v>81.337477551737</v>
      </c>
      <c r="O27" s="1" t="n">
        <v>0</v>
      </c>
    </row>
    <row r="28" customFormat="false" ht="15" hidden="false" customHeight="false" outlineLevel="0" collapsed="false">
      <c r="A28" s="1" t="str">
        <f aca="false">A27</f>
        <v>Andhra Pradesh</v>
      </c>
      <c r="B28" s="1" t="n">
        <v>27</v>
      </c>
      <c r="C28" s="1" t="s">
        <v>42</v>
      </c>
      <c r="D28" s="1" t="n">
        <v>1427764</v>
      </c>
      <c r="E28" s="1" t="n">
        <v>600526</v>
      </c>
      <c r="F28" s="1" t="n">
        <v>594189</v>
      </c>
      <c r="G28" s="1" t="n">
        <v>5</v>
      </c>
      <c r="H28" s="1" t="n">
        <f aca="false">E28+F28+G28</f>
        <v>1194720</v>
      </c>
      <c r="I28" s="1" t="n">
        <v>0</v>
      </c>
      <c r="J28" s="1" t="n">
        <v>8516</v>
      </c>
      <c r="K28" s="1" t="n">
        <f aca="false">H28+J28</f>
        <v>1203236</v>
      </c>
      <c r="L28" s="1" t="n">
        <f aca="false">K28/D28*100</f>
        <v>84.2741517505694</v>
      </c>
      <c r="M28" s="1" t="n">
        <v>84.9854660624775</v>
      </c>
      <c r="N28" s="1" t="n">
        <v>82.4570776737293</v>
      </c>
      <c r="O28" s="1" t="n">
        <v>6.75675675675676</v>
      </c>
    </row>
    <row r="29" customFormat="false" ht="15" hidden="false" customHeight="false" outlineLevel="0" collapsed="false">
      <c r="A29" s="1" t="str">
        <f aca="false">A28</f>
        <v>Andhra Pradesh</v>
      </c>
      <c r="B29" s="1" t="n">
        <v>28</v>
      </c>
      <c r="C29" s="1" t="s">
        <v>43</v>
      </c>
      <c r="D29" s="1" t="n">
        <v>1369311</v>
      </c>
      <c r="E29" s="1" t="n">
        <v>564406</v>
      </c>
      <c r="F29" s="1" t="n">
        <v>569695</v>
      </c>
      <c r="G29" s="1" t="n">
        <v>3</v>
      </c>
      <c r="H29" s="1" t="n">
        <f aca="false">E29+F29+G29</f>
        <v>1134104</v>
      </c>
      <c r="I29" s="1" t="n">
        <v>0</v>
      </c>
      <c r="J29" s="1" t="n">
        <v>8944</v>
      </c>
      <c r="K29" s="1" t="n">
        <f aca="false">H29+J29</f>
        <v>1143048</v>
      </c>
      <c r="L29" s="1" t="n">
        <f aca="false">K29/D29*100</f>
        <v>83.4761423810953</v>
      </c>
      <c r="M29" s="1" t="n">
        <v>83.5585125440069</v>
      </c>
      <c r="N29" s="1" t="n">
        <v>82.1746988560062</v>
      </c>
      <c r="O29" s="1" t="n">
        <v>2.85714285714286</v>
      </c>
    </row>
    <row r="30" customFormat="false" ht="15" hidden="false" customHeight="false" outlineLevel="0" collapsed="false">
      <c r="A30" s="1" t="str">
        <f aca="false">A29</f>
        <v>Andhra Pradesh</v>
      </c>
      <c r="B30" s="1" t="n">
        <v>29</v>
      </c>
      <c r="C30" s="1" t="s">
        <v>44</v>
      </c>
      <c r="D30" s="1" t="n">
        <v>1564511</v>
      </c>
      <c r="E30" s="1" t="n">
        <v>599506</v>
      </c>
      <c r="F30" s="1" t="n">
        <v>589998</v>
      </c>
      <c r="G30" s="1" t="n">
        <v>10</v>
      </c>
      <c r="H30" s="1" t="n">
        <f aca="false">E30+F30+G30</f>
        <v>1189514</v>
      </c>
      <c r="I30" s="1" t="n">
        <v>0</v>
      </c>
      <c r="J30" s="1" t="n">
        <v>9471</v>
      </c>
      <c r="K30" s="1" t="n">
        <f aca="false">H30+J30</f>
        <v>1198985</v>
      </c>
      <c r="L30" s="1" t="n">
        <f aca="false">K30/D30*100</f>
        <v>76.636405880176</v>
      </c>
      <c r="M30" s="1" t="n">
        <v>76.7597590830405</v>
      </c>
      <c r="N30" s="1" t="n">
        <v>75.3422978201739</v>
      </c>
      <c r="O30" s="1" t="n">
        <v>6.06060606060606</v>
      </c>
    </row>
    <row r="31" customFormat="false" ht="15" hidden="false" customHeight="false" outlineLevel="0" collapsed="false">
      <c r="A31" s="1" t="str">
        <f aca="false">A30</f>
        <v>Andhra Pradesh</v>
      </c>
      <c r="B31" s="1" t="n">
        <v>30</v>
      </c>
      <c r="C31" s="1" t="s">
        <v>45</v>
      </c>
      <c r="D31" s="1" t="n">
        <v>1572016</v>
      </c>
      <c r="E31" s="1" t="n">
        <v>613894</v>
      </c>
      <c r="F31" s="1" t="n">
        <v>623668</v>
      </c>
      <c r="G31" s="1" t="n">
        <v>17</v>
      </c>
      <c r="H31" s="1" t="n">
        <f aca="false">E31+F31+G31</f>
        <v>1237579</v>
      </c>
      <c r="I31" s="1" t="n">
        <v>0</v>
      </c>
      <c r="J31" s="1" t="n">
        <v>9196</v>
      </c>
      <c r="K31" s="1" t="n">
        <f aca="false">H31+J31</f>
        <v>1246775</v>
      </c>
      <c r="L31" s="1" t="n">
        <f aca="false">K31/D31*100</f>
        <v>79.3105795360862</v>
      </c>
      <c r="M31" s="1" t="n">
        <v>79.5780855443614</v>
      </c>
      <c r="N31" s="1" t="n">
        <v>78.1375326216193</v>
      </c>
      <c r="O31" s="1" t="n">
        <v>9.65909090909091</v>
      </c>
    </row>
    <row r="32" customFormat="false" ht="15" hidden="false" customHeight="false" outlineLevel="0" collapsed="false">
      <c r="A32" s="1" t="str">
        <f aca="false">A31</f>
        <v>Andhra Pradesh</v>
      </c>
      <c r="B32" s="1" t="n">
        <v>31</v>
      </c>
      <c r="C32" s="1" t="s">
        <v>46</v>
      </c>
      <c r="D32" s="1" t="n">
        <v>1514861</v>
      </c>
      <c r="E32" s="1" t="n">
        <v>635270</v>
      </c>
      <c r="F32" s="1" t="n">
        <v>640887</v>
      </c>
      <c r="G32" s="1" t="n">
        <v>0</v>
      </c>
      <c r="H32" s="1" t="n">
        <f aca="false">E32+F32+G32</f>
        <v>1276157</v>
      </c>
      <c r="I32" s="1" t="n">
        <v>0</v>
      </c>
      <c r="J32" s="1" t="n">
        <v>6674</v>
      </c>
      <c r="K32" s="1" t="n">
        <f aca="false">H32+J32</f>
        <v>1282831</v>
      </c>
      <c r="L32" s="1" t="n">
        <f aca="false">K32/D32*100</f>
        <v>84.6830831343602</v>
      </c>
      <c r="M32" s="1" t="n">
        <v>84.947655705722</v>
      </c>
      <c r="N32" s="1" t="n">
        <v>83.6602663763496</v>
      </c>
      <c r="O32" s="1" t="n">
        <v>0</v>
      </c>
    </row>
    <row r="33" customFormat="false" ht="15" hidden="false" customHeight="false" outlineLevel="0" collapsed="false">
      <c r="A33" s="1" t="str">
        <f aca="false">A32</f>
        <v>Andhra Pradesh</v>
      </c>
      <c r="B33" s="1" t="n">
        <v>32</v>
      </c>
      <c r="C33" s="1" t="s">
        <v>47</v>
      </c>
      <c r="D33" s="1" t="n">
        <v>1392964</v>
      </c>
      <c r="E33" s="1" t="n">
        <v>583921</v>
      </c>
      <c r="F33" s="1" t="n">
        <v>594010</v>
      </c>
      <c r="G33" s="1" t="n">
        <v>1</v>
      </c>
      <c r="H33" s="1" t="n">
        <f aca="false">E33+F33+G33</f>
        <v>1177932</v>
      </c>
      <c r="I33" s="1" t="n">
        <v>0</v>
      </c>
      <c r="J33" s="1" t="n">
        <v>8318</v>
      </c>
      <c r="K33" s="1" t="n">
        <f aca="false">H33+J33</f>
        <v>1186250</v>
      </c>
      <c r="L33" s="1" t="n">
        <f aca="false">K33/D33*100</f>
        <v>85.1601333559231</v>
      </c>
      <c r="M33" s="1" t="n">
        <v>85.4814177195918</v>
      </c>
      <c r="N33" s="1" t="n">
        <v>84.2530328453642</v>
      </c>
      <c r="O33" s="1" t="n">
        <v>0.854700854700855</v>
      </c>
    </row>
    <row r="34" customFormat="false" ht="15" hidden="false" customHeight="false" outlineLevel="0" collapsed="false">
      <c r="A34" s="1" t="str">
        <f aca="false">A33</f>
        <v>Andhra Pradesh</v>
      </c>
      <c r="B34" s="1" t="n">
        <v>33</v>
      </c>
      <c r="C34" s="1" t="s">
        <v>48</v>
      </c>
      <c r="D34" s="1" t="n">
        <v>1470212</v>
      </c>
      <c r="E34" s="1" t="n">
        <v>597957</v>
      </c>
      <c r="F34" s="1" t="n">
        <v>599889</v>
      </c>
      <c r="G34" s="1" t="n">
        <v>9</v>
      </c>
      <c r="H34" s="1" t="n">
        <f aca="false">E34+F34+G34</f>
        <v>1197855</v>
      </c>
      <c r="I34" s="1" t="n">
        <v>0</v>
      </c>
      <c r="J34" s="1" t="n">
        <v>11049</v>
      </c>
      <c r="K34" s="1" t="n">
        <f aca="false">H34+J34</f>
        <v>1208904</v>
      </c>
      <c r="L34" s="1" t="n">
        <f aca="false">K34/D34*100</f>
        <v>82.2265088300191</v>
      </c>
      <c r="M34" s="1" t="n">
        <v>81.755015374603</v>
      </c>
      <c r="N34" s="1" t="n">
        <v>81.957759352086</v>
      </c>
      <c r="O34" s="1" t="n">
        <v>8.57142857142857</v>
      </c>
    </row>
    <row r="35" customFormat="false" ht="15" hidden="false" customHeight="false" outlineLevel="0" collapsed="false">
      <c r="A35" s="1" t="str">
        <f aca="false">A34</f>
        <v>Andhra Pradesh</v>
      </c>
      <c r="B35" s="1" t="n">
        <v>34</v>
      </c>
      <c r="C35" s="1" t="s">
        <v>49</v>
      </c>
      <c r="D35" s="1" t="n">
        <v>1576945</v>
      </c>
      <c r="E35" s="1" t="n">
        <v>601303</v>
      </c>
      <c r="F35" s="1" t="n">
        <v>599288</v>
      </c>
      <c r="G35" s="1" t="n">
        <v>16</v>
      </c>
      <c r="H35" s="1" t="n">
        <f aca="false">E35+F35+G35</f>
        <v>1200607</v>
      </c>
      <c r="I35" s="1" t="n">
        <v>0</v>
      </c>
      <c r="J35" s="1" t="n">
        <v>9073</v>
      </c>
      <c r="K35" s="1" t="n">
        <f aca="false">H35+J35</f>
        <v>1209680</v>
      </c>
      <c r="L35" s="1" t="n">
        <f aca="false">K35/D35*100</f>
        <v>76.7103481732083</v>
      </c>
      <c r="M35" s="1" t="n">
        <v>76.8891321276816</v>
      </c>
      <c r="N35" s="1" t="n">
        <v>75.5350136313621</v>
      </c>
      <c r="O35" s="1" t="n">
        <v>6.83760683760684</v>
      </c>
    </row>
    <row r="36" customFormat="false" ht="15" hidden="false" customHeight="false" outlineLevel="0" collapsed="false">
      <c r="A36" s="1" t="str">
        <f aca="false">A35</f>
        <v>Andhra Pradesh</v>
      </c>
      <c r="B36" s="1" t="n">
        <v>35</v>
      </c>
      <c r="C36" s="1" t="s">
        <v>50</v>
      </c>
      <c r="D36" s="1" t="n">
        <v>1481791</v>
      </c>
      <c r="E36" s="1" t="n">
        <v>543424</v>
      </c>
      <c r="F36" s="1" t="n">
        <v>519253</v>
      </c>
      <c r="G36" s="1" t="n">
        <v>3</v>
      </c>
      <c r="H36" s="1" t="n">
        <f aca="false">E36+F36+G36</f>
        <v>1062680</v>
      </c>
      <c r="I36" s="1" t="n">
        <v>0</v>
      </c>
      <c r="J36" s="1" t="n">
        <v>5390</v>
      </c>
      <c r="K36" s="1" t="n">
        <f aca="false">H36+J36</f>
        <v>1068070</v>
      </c>
      <c r="L36" s="1" t="n">
        <f aca="false">K36/D36*100</f>
        <v>72.079665755832</v>
      </c>
      <c r="M36" s="1" t="n">
        <v>73.5999826640013</v>
      </c>
      <c r="N36" s="1" t="n">
        <v>69.9161146119459</v>
      </c>
      <c r="O36" s="1" t="n">
        <v>1.94805194805195</v>
      </c>
    </row>
    <row r="37" customFormat="false" ht="15" hidden="false" customHeight="false" outlineLevel="0" collapsed="false">
      <c r="A37" s="1" t="str">
        <f aca="false">A36</f>
        <v>Andhra Pradesh</v>
      </c>
      <c r="B37" s="1" t="n">
        <v>36</v>
      </c>
      <c r="C37" s="1" t="s">
        <v>51</v>
      </c>
      <c r="D37" s="1" t="n">
        <v>1536894</v>
      </c>
      <c r="E37" s="1" t="n">
        <v>612936</v>
      </c>
      <c r="F37" s="1" t="n">
        <v>592912</v>
      </c>
      <c r="G37" s="1" t="n">
        <v>1</v>
      </c>
      <c r="H37" s="1" t="n">
        <f aca="false">E37+F37+G37</f>
        <v>1205849</v>
      </c>
      <c r="I37" s="1" t="n">
        <v>0</v>
      </c>
      <c r="J37" s="1" t="n">
        <v>6346</v>
      </c>
      <c r="K37" s="1" t="n">
        <f aca="false">H37+J37</f>
        <v>1212195</v>
      </c>
      <c r="L37" s="1" t="n">
        <f aca="false">K37/D37*100</f>
        <v>78.8730387391713</v>
      </c>
      <c r="M37" s="1" t="n">
        <v>79.0982120388951</v>
      </c>
      <c r="N37" s="1" t="n">
        <v>77.9005510344048</v>
      </c>
      <c r="O37" s="1" t="n">
        <v>0.689655172413793</v>
      </c>
    </row>
    <row r="38" customFormat="false" ht="15" hidden="false" customHeight="false" outlineLevel="0" collapsed="false">
      <c r="A38" s="1" t="str">
        <f aca="false">A37</f>
        <v>Andhra Pradesh</v>
      </c>
      <c r="B38" s="1" t="n">
        <v>37</v>
      </c>
      <c r="C38" s="1" t="s">
        <v>52</v>
      </c>
      <c r="D38" s="1" t="n">
        <v>1446496</v>
      </c>
      <c r="E38" s="1" t="n">
        <v>598591</v>
      </c>
      <c r="F38" s="1" t="n">
        <v>572192</v>
      </c>
      <c r="G38" s="1" t="n">
        <v>0</v>
      </c>
      <c r="H38" s="1" t="n">
        <f aca="false">E38+F38+G38</f>
        <v>1170783</v>
      </c>
      <c r="I38" s="1" t="n">
        <v>0</v>
      </c>
      <c r="J38" s="1" t="n">
        <v>8487</v>
      </c>
      <c r="K38" s="1" t="n">
        <f aca="false">H38+J38</f>
        <v>1179270</v>
      </c>
      <c r="L38" s="1" t="n">
        <f aca="false">K38/D38*100</f>
        <v>81.5259772581466</v>
      </c>
      <c r="M38" s="1" t="n">
        <v>81.5492408967554</v>
      </c>
      <c r="N38" s="1" t="n">
        <v>80.4034561884969</v>
      </c>
      <c r="O38" s="1" t="n">
        <v>0</v>
      </c>
    </row>
    <row r="39" customFormat="false" ht="15" hidden="false" customHeight="false" outlineLevel="0" collapsed="false">
      <c r="A39" s="1" t="str">
        <f aca="false">A38</f>
        <v>Andhra Pradesh</v>
      </c>
      <c r="B39" s="1" t="n">
        <v>38</v>
      </c>
      <c r="C39" s="1" t="s">
        <v>53</v>
      </c>
      <c r="D39" s="1" t="n">
        <v>1550440</v>
      </c>
      <c r="E39" s="1" t="n">
        <v>583320</v>
      </c>
      <c r="F39" s="1" t="n">
        <v>606195</v>
      </c>
      <c r="G39" s="1" t="n">
        <v>1</v>
      </c>
      <c r="H39" s="1" t="n">
        <f aca="false">E39+F39+G39</f>
        <v>1189516</v>
      </c>
      <c r="I39" s="1" t="n">
        <v>0</v>
      </c>
      <c r="J39" s="1" t="n">
        <v>11604</v>
      </c>
      <c r="K39" s="1" t="n">
        <f aca="false">H39+J39</f>
        <v>1201120</v>
      </c>
      <c r="L39" s="1" t="n">
        <f aca="false">K39/D39*100</f>
        <v>77.4696215267924</v>
      </c>
      <c r="M39" s="1" t="n">
        <v>76.337596122136</v>
      </c>
      <c r="N39" s="1" t="n">
        <v>77.1992807239625</v>
      </c>
      <c r="O39" s="1" t="n">
        <v>0.884955752212389</v>
      </c>
    </row>
    <row r="40" customFormat="false" ht="15" hidden="false" customHeight="false" outlineLevel="0" collapsed="false">
      <c r="A40" s="1" t="str">
        <f aca="false">A39</f>
        <v>Andhra Pradesh</v>
      </c>
      <c r="B40" s="1" t="n">
        <v>39</v>
      </c>
      <c r="C40" s="1" t="s">
        <v>54</v>
      </c>
      <c r="D40" s="1" t="n">
        <v>1606126</v>
      </c>
      <c r="E40" s="1" t="n">
        <v>589353</v>
      </c>
      <c r="F40" s="1" t="n">
        <v>590606</v>
      </c>
      <c r="G40" s="1" t="n">
        <v>9</v>
      </c>
      <c r="H40" s="1" t="n">
        <f aca="false">E40+F40+G40</f>
        <v>1179968</v>
      </c>
      <c r="I40" s="1" t="n">
        <v>0</v>
      </c>
      <c r="J40" s="1" t="n">
        <v>8893</v>
      </c>
      <c r="K40" s="1" t="n">
        <f aca="false">H40+J40</f>
        <v>1188861</v>
      </c>
      <c r="L40" s="1" t="n">
        <f aca="false">K40/D40*100</f>
        <v>74.0204068672072</v>
      </c>
      <c r="M40" s="1" t="n">
        <v>74.0078961446019</v>
      </c>
      <c r="N40" s="1" t="n">
        <v>73.0124822137417</v>
      </c>
      <c r="O40" s="1" t="n">
        <v>4.76190476190476</v>
      </c>
    </row>
    <row r="41" customFormat="false" ht="15" hidden="false" customHeight="false" outlineLevel="0" collapsed="false">
      <c r="A41" s="1" t="str">
        <f aca="false">A40</f>
        <v>Andhra Pradesh</v>
      </c>
      <c r="B41" s="1" t="n">
        <v>40</v>
      </c>
      <c r="C41" s="1" t="s">
        <v>55</v>
      </c>
      <c r="D41" s="1" t="n">
        <v>1574161</v>
      </c>
      <c r="E41" s="1" t="n">
        <v>602087</v>
      </c>
      <c r="F41" s="1" t="n">
        <v>605328</v>
      </c>
      <c r="G41" s="1" t="n">
        <v>3</v>
      </c>
      <c r="H41" s="1" t="n">
        <f aca="false">E41+F41+G41</f>
        <v>1207418</v>
      </c>
      <c r="I41" s="1" t="n">
        <v>0</v>
      </c>
      <c r="J41" s="1" t="n">
        <v>6945</v>
      </c>
      <c r="K41" s="1" t="n">
        <f aca="false">H41+J41</f>
        <v>1214363</v>
      </c>
      <c r="L41" s="1" t="n">
        <f aca="false">K41/D41*100</f>
        <v>77.1435069221001</v>
      </c>
      <c r="M41" s="1" t="n">
        <v>77.3724663214965</v>
      </c>
      <c r="N41" s="1" t="n">
        <v>76.1128777333922</v>
      </c>
      <c r="O41" s="1" t="n">
        <v>1.77514792899408</v>
      </c>
    </row>
    <row r="42" customFormat="false" ht="15" hidden="false" customHeight="false" outlineLevel="0" collapsed="false">
      <c r="A42" s="1" t="str">
        <f aca="false">A41</f>
        <v>Andhra Pradesh</v>
      </c>
      <c r="B42" s="1" t="n">
        <v>41</v>
      </c>
      <c r="C42" s="1" t="s">
        <v>56</v>
      </c>
      <c r="D42" s="1" t="n">
        <v>1487791</v>
      </c>
      <c r="E42" s="1" t="n">
        <v>570991</v>
      </c>
      <c r="F42" s="1" t="n">
        <v>582836</v>
      </c>
      <c r="G42" s="1" t="n">
        <v>8</v>
      </c>
      <c r="H42" s="1" t="n">
        <f aca="false">E42+F42+G42</f>
        <v>1153835</v>
      </c>
      <c r="I42" s="1" t="n">
        <v>0</v>
      </c>
      <c r="J42" s="1" t="n">
        <v>7406</v>
      </c>
      <c r="K42" s="1" t="n">
        <f aca="false">H42+J42</f>
        <v>1161241</v>
      </c>
      <c r="L42" s="1" t="n">
        <f aca="false">K42/D42*100</f>
        <v>78.0513526429452</v>
      </c>
      <c r="M42" s="1" t="n">
        <v>77.7195816960014</v>
      </c>
      <c r="N42" s="1" t="n">
        <v>77.5278806452986</v>
      </c>
      <c r="O42" s="1" t="n">
        <v>5.36912751677852</v>
      </c>
    </row>
    <row r="43" customFormat="false" ht="15" hidden="false" customHeight="false" outlineLevel="0" collapsed="false">
      <c r="A43" s="1" t="str">
        <f aca="false">A42</f>
        <v>Andhra Pradesh</v>
      </c>
      <c r="B43" s="1" t="n">
        <v>42</v>
      </c>
      <c r="C43" s="1" t="s">
        <v>57</v>
      </c>
      <c r="D43" s="1" t="n">
        <v>1451851</v>
      </c>
      <c r="E43" s="1" t="n">
        <v>595000</v>
      </c>
      <c r="F43" s="1" t="n">
        <v>597153</v>
      </c>
      <c r="G43" s="1" t="n">
        <v>0</v>
      </c>
      <c r="H43" s="1" t="n">
        <f aca="false">E43+F43+G43</f>
        <v>1192153</v>
      </c>
      <c r="I43" s="1" t="n">
        <v>0</v>
      </c>
      <c r="J43" s="1" t="n">
        <v>6984</v>
      </c>
      <c r="K43" s="1" t="n">
        <f aca="false">H43+J43</f>
        <v>1199137</v>
      </c>
      <c r="L43" s="1" t="n">
        <f aca="false">K43/D43*100</f>
        <v>82.5936683585299</v>
      </c>
      <c r="M43" s="1" t="n">
        <v>82.4541686471835</v>
      </c>
      <c r="N43" s="1" t="n">
        <v>82.1135874856304</v>
      </c>
      <c r="O43" s="1" t="n">
        <v>0</v>
      </c>
    </row>
    <row r="44" customFormat="false" ht="15" hidden="false" customHeight="false" outlineLevel="0" collapsed="false">
      <c r="A44" s="1" t="str">
        <f aca="false">A43</f>
        <v>Andhra Pradesh</v>
      </c>
      <c r="D44" s="1" t="n">
        <f aca="false">SUM(D2:D43)</f>
        <v>64934133</v>
      </c>
      <c r="E44" s="1" t="n">
        <f aca="false">SUM(E2:E43)</f>
        <v>24264387</v>
      </c>
      <c r="F44" s="1" t="n">
        <f aca="false">SUM(F2:F43)</f>
        <v>23899017</v>
      </c>
      <c r="G44" s="1" t="n">
        <f aca="false">SUM(G2:G43)</f>
        <v>299</v>
      </c>
      <c r="H44" s="1" t="n">
        <f aca="false">SUM(H2:H43)</f>
        <v>48163703</v>
      </c>
      <c r="I44" s="1" t="n">
        <f aca="false">SUM(I2:I43)</f>
        <v>0</v>
      </c>
      <c r="J44" s="1" t="n">
        <f aca="false">SUM(J2:J43)</f>
        <v>304018</v>
      </c>
      <c r="K44" s="1" t="n">
        <f aca="false">SUM(K2:K43)</f>
        <v>48467721</v>
      </c>
      <c r="L44" s="1" t="n">
        <v>74.64</v>
      </c>
      <c r="M44" s="1" t="n">
        <v>74.34</v>
      </c>
      <c r="N44" s="1" t="n">
        <v>74.12</v>
      </c>
      <c r="O44" s="1" t="n">
        <v>5.38</v>
      </c>
    </row>
    <row r="45" customFormat="false" ht="15" hidden="false" customHeight="false" outlineLevel="0" collapsed="false">
      <c r="A45" s="4" t="s">
        <v>58</v>
      </c>
      <c r="B45" s="4" t="n">
        <v>1</v>
      </c>
      <c r="C45" s="4" t="s">
        <v>59</v>
      </c>
      <c r="D45" s="4" t="n">
        <v>446640</v>
      </c>
      <c r="E45" s="4" t="n">
        <v>155623</v>
      </c>
      <c r="F45" s="4" t="n">
        <v>170663</v>
      </c>
      <c r="G45" s="4" t="n">
        <v>0</v>
      </c>
      <c r="H45" s="4" t="n">
        <f aca="false">E45+F45+G45</f>
        <v>326286</v>
      </c>
      <c r="I45" s="4" t="n">
        <v>0</v>
      </c>
      <c r="J45" s="4" t="n">
        <v>11385</v>
      </c>
      <c r="K45" s="4" t="n">
        <f aca="false">H45+J45</f>
        <v>337671</v>
      </c>
      <c r="L45" s="4" t="n">
        <f aca="false">K45/D45*100</f>
        <v>75.6024986566362</v>
      </c>
      <c r="M45" s="4" t="n">
        <v>71.2918594530212</v>
      </c>
      <c r="N45" s="4" t="n">
        <v>75.1849192258724</v>
      </c>
      <c r="O45" s="4" t="n">
        <v>0</v>
      </c>
    </row>
    <row r="46" customFormat="false" ht="15" hidden="false" customHeight="false" outlineLevel="0" collapsed="false">
      <c r="A46" s="1" t="str">
        <f aca="false">A45</f>
        <v>Arunachal Pradesh</v>
      </c>
      <c r="B46" s="4" t="n">
        <v>2</v>
      </c>
      <c r="C46" s="4" t="s">
        <v>60</v>
      </c>
      <c r="D46" s="4" t="n">
        <v>312704</v>
      </c>
      <c r="E46" s="4" t="n">
        <v>126888</v>
      </c>
      <c r="F46" s="4" t="n">
        <v>128574</v>
      </c>
      <c r="G46" s="4" t="n">
        <v>0</v>
      </c>
      <c r="H46" s="4" t="n">
        <f aca="false">E46+F46+G46</f>
        <v>255462</v>
      </c>
      <c r="I46" s="4" t="n">
        <v>0</v>
      </c>
      <c r="J46" s="4" t="n">
        <v>7695</v>
      </c>
      <c r="K46" s="4" t="n">
        <f aca="false">H46+J46</f>
        <v>263157</v>
      </c>
      <c r="L46" s="4" t="n">
        <f aca="false">K46/D46*100</f>
        <v>84.1553034179288</v>
      </c>
      <c r="M46" s="4" t="n">
        <v>79.4390534026169</v>
      </c>
      <c r="N46" s="4" t="n">
        <v>84.3207722878766</v>
      </c>
      <c r="O46" s="4" t="n">
        <v>0</v>
      </c>
    </row>
    <row r="47" customFormat="false" ht="15" hidden="false" customHeight="false" outlineLevel="0" collapsed="false">
      <c r="A47" s="4" t="s">
        <v>61</v>
      </c>
      <c r="B47" s="4" t="n">
        <v>1</v>
      </c>
      <c r="C47" s="4" t="s">
        <v>62</v>
      </c>
      <c r="D47" s="4" t="n">
        <v>1165997</v>
      </c>
      <c r="E47" s="4" t="n">
        <v>481673</v>
      </c>
      <c r="F47" s="4" t="n">
        <v>404641</v>
      </c>
      <c r="G47" s="4" t="n">
        <v>0</v>
      </c>
      <c r="H47" s="4" t="n">
        <f aca="false">E47+F47+G47</f>
        <v>886314</v>
      </c>
      <c r="I47" s="4" t="n">
        <v>0</v>
      </c>
      <c r="J47" s="4" t="n">
        <v>1468</v>
      </c>
      <c r="K47" s="4" t="n">
        <f aca="false">H47+J47</f>
        <v>887782</v>
      </c>
      <c r="L47" s="4" t="n">
        <f aca="false">K47/D47*100</f>
        <v>76.1393039604733</v>
      </c>
      <c r="M47" s="4" t="n">
        <v>78.46319500101</v>
      </c>
      <c r="N47" s="4" t="n">
        <v>73.5247035052431</v>
      </c>
      <c r="O47" s="4" t="n">
        <v>0</v>
      </c>
    </row>
    <row r="48" customFormat="false" ht="15" hidden="false" customHeight="false" outlineLevel="0" collapsed="false">
      <c r="A48" s="1" t="str">
        <f aca="false">A47</f>
        <v>Assam</v>
      </c>
      <c r="B48" s="4" t="n">
        <v>2</v>
      </c>
      <c r="C48" s="4" t="s">
        <v>63</v>
      </c>
      <c r="D48" s="4" t="n">
        <v>1060175</v>
      </c>
      <c r="E48" s="4" t="n">
        <v>428972</v>
      </c>
      <c r="F48" s="4" t="n">
        <v>370918</v>
      </c>
      <c r="G48" s="4" t="n">
        <v>0</v>
      </c>
      <c r="H48" s="4" t="n">
        <f aca="false">E48+F48+G48</f>
        <v>799890</v>
      </c>
      <c r="I48" s="4" t="n">
        <v>0</v>
      </c>
      <c r="J48" s="4" t="n">
        <v>168</v>
      </c>
      <c r="K48" s="4" t="n">
        <f aca="false">H48+J48</f>
        <v>800058</v>
      </c>
      <c r="L48" s="4" t="n">
        <f aca="false">K48/D48*100</f>
        <v>75.464711014691</v>
      </c>
      <c r="M48" s="4" t="n">
        <v>77.7433034905216</v>
      </c>
      <c r="N48" s="4" t="n">
        <v>73.5341464188289</v>
      </c>
      <c r="O48" s="4" t="n">
        <v>0</v>
      </c>
    </row>
    <row r="49" customFormat="false" ht="15" hidden="false" customHeight="false" outlineLevel="0" collapsed="false">
      <c r="A49" s="4" t="str">
        <f aca="false">A48</f>
        <v>Assam</v>
      </c>
      <c r="B49" s="4" t="n">
        <v>3</v>
      </c>
      <c r="C49" s="4" t="s">
        <v>64</v>
      </c>
      <c r="D49" s="4" t="n">
        <v>702230</v>
      </c>
      <c r="E49" s="4" t="n">
        <v>279451</v>
      </c>
      <c r="F49" s="4" t="n">
        <v>263869</v>
      </c>
      <c r="G49" s="4" t="n">
        <v>0</v>
      </c>
      <c r="H49" s="4" t="n">
        <f aca="false">E49+F49+G49</f>
        <v>543320</v>
      </c>
      <c r="I49" s="4" t="n">
        <v>0</v>
      </c>
      <c r="J49" s="4" t="n">
        <v>397</v>
      </c>
      <c r="K49" s="4" t="n">
        <f aca="false">H49+J49</f>
        <v>543717</v>
      </c>
      <c r="L49" s="4" t="n">
        <f aca="false">K49/D49*100</f>
        <v>77.4271962177634</v>
      </c>
      <c r="M49" s="4" t="n">
        <v>77.9587680633823</v>
      </c>
      <c r="N49" s="4" t="n">
        <v>76.9017122040073</v>
      </c>
      <c r="O49" s="4" t="n">
        <v>0</v>
      </c>
    </row>
    <row r="50" customFormat="false" ht="15" hidden="false" customHeight="false" outlineLevel="0" collapsed="false">
      <c r="A50" s="1" t="str">
        <f aca="false">A49</f>
        <v>Assam</v>
      </c>
      <c r="B50" s="4" t="n">
        <v>4</v>
      </c>
      <c r="C50" s="4" t="s">
        <v>65</v>
      </c>
      <c r="D50" s="4" t="n">
        <v>1550166</v>
      </c>
      <c r="E50" s="4" t="n">
        <v>709038</v>
      </c>
      <c r="F50" s="4" t="n">
        <v>660085</v>
      </c>
      <c r="G50" s="4" t="n">
        <v>0</v>
      </c>
      <c r="H50" s="4" t="n">
        <f aca="false">E50+F50+G50</f>
        <v>1369123</v>
      </c>
      <c r="I50" s="4" t="n">
        <v>0</v>
      </c>
      <c r="J50" s="4" t="n">
        <v>599</v>
      </c>
      <c r="K50" s="4" t="n">
        <f aca="false">H50+J50</f>
        <v>1369722</v>
      </c>
      <c r="L50" s="4" t="n">
        <f aca="false">K50/D50*100</f>
        <v>88.3596982516711</v>
      </c>
      <c r="M50" s="4" t="n">
        <v>89.1730367262547</v>
      </c>
      <c r="N50" s="4" t="n">
        <v>87.6907360025082</v>
      </c>
      <c r="O50" s="4" t="n">
        <v>0</v>
      </c>
    </row>
    <row r="51" customFormat="false" ht="15" hidden="false" customHeight="false" outlineLevel="0" collapsed="false">
      <c r="A51" s="1" t="str">
        <f aca="false">A50</f>
        <v>Assam</v>
      </c>
      <c r="B51" s="4" t="n">
        <v>5</v>
      </c>
      <c r="C51" s="4" t="s">
        <v>66</v>
      </c>
      <c r="D51" s="4" t="n">
        <v>1505472</v>
      </c>
      <c r="E51" s="4" t="n">
        <v>636473</v>
      </c>
      <c r="F51" s="4" t="n">
        <v>587031</v>
      </c>
      <c r="G51" s="4" t="n">
        <v>0</v>
      </c>
      <c r="H51" s="4" t="n">
        <f aca="false">E51+F51+G51</f>
        <v>1223504</v>
      </c>
      <c r="I51" s="4" t="n">
        <v>0</v>
      </c>
      <c r="J51" s="4" t="n">
        <v>739</v>
      </c>
      <c r="K51" s="4" t="n">
        <f aca="false">H51+J51</f>
        <v>1224243</v>
      </c>
      <c r="L51" s="4" t="n">
        <f aca="false">K51/D51*100</f>
        <v>81.3195462951154</v>
      </c>
      <c r="M51" s="4" t="n">
        <v>82.2379225289783</v>
      </c>
      <c r="N51" s="4" t="n">
        <v>80.581335493037</v>
      </c>
      <c r="O51" s="4" t="n">
        <v>0</v>
      </c>
    </row>
    <row r="52" customFormat="false" ht="15" hidden="false" customHeight="false" outlineLevel="0" collapsed="false">
      <c r="A52" s="1" t="str">
        <f aca="false">A51</f>
        <v>Assam</v>
      </c>
      <c r="B52" s="4" t="n">
        <v>6</v>
      </c>
      <c r="C52" s="4" t="s">
        <v>67</v>
      </c>
      <c r="D52" s="4" t="n">
        <v>1430188</v>
      </c>
      <c r="E52" s="4" t="n">
        <v>634466</v>
      </c>
      <c r="F52" s="4" t="n">
        <v>571414</v>
      </c>
      <c r="G52" s="4" t="n">
        <v>0</v>
      </c>
      <c r="H52" s="4" t="n">
        <f aca="false">E52+F52+G52</f>
        <v>1205880</v>
      </c>
      <c r="I52" s="4" t="n">
        <v>0</v>
      </c>
      <c r="J52" s="4" t="n">
        <v>1164</v>
      </c>
      <c r="K52" s="4" t="n">
        <f aca="false">H52+J52</f>
        <v>1207044</v>
      </c>
      <c r="L52" s="4" t="n">
        <f aca="false">K52/D52*100</f>
        <v>84.3975757033341</v>
      </c>
      <c r="M52" s="4" t="n">
        <v>84.2380726039656</v>
      </c>
      <c r="N52" s="4" t="n">
        <v>84.8119903464531</v>
      </c>
      <c r="O52" s="4" t="n">
        <v>0</v>
      </c>
    </row>
    <row r="53" customFormat="false" ht="15" hidden="false" customHeight="false" outlineLevel="0" collapsed="false">
      <c r="A53" s="1" t="str">
        <f aca="false">A52</f>
        <v>Assam</v>
      </c>
      <c r="B53" s="4" t="n">
        <v>7</v>
      </c>
      <c r="C53" s="4" t="s">
        <v>68</v>
      </c>
      <c r="D53" s="4" t="n">
        <v>1922270</v>
      </c>
      <c r="E53" s="4" t="n">
        <v>784535</v>
      </c>
      <c r="F53" s="4" t="n">
        <v>727081</v>
      </c>
      <c r="G53" s="4" t="n">
        <v>0</v>
      </c>
      <c r="H53" s="4" t="n">
        <f aca="false">E53+F53+G53</f>
        <v>1511616</v>
      </c>
      <c r="I53" s="4" t="n">
        <v>0</v>
      </c>
      <c r="J53" s="4" t="n">
        <v>632</v>
      </c>
      <c r="K53" s="4" t="n">
        <f aca="false">H53+J53</f>
        <v>1512248</v>
      </c>
      <c r="L53" s="4" t="n">
        <f aca="false">K53/D53*100</f>
        <v>78.6699058925125</v>
      </c>
      <c r="M53" s="4" t="n">
        <v>79.4766828145546</v>
      </c>
      <c r="N53" s="4" t="n">
        <v>77.8656896878544</v>
      </c>
      <c r="O53" s="4" t="n">
        <v>0</v>
      </c>
    </row>
    <row r="54" customFormat="false" ht="15" hidden="false" customHeight="false" outlineLevel="0" collapsed="false">
      <c r="A54" s="1" t="str">
        <f aca="false">A53</f>
        <v>Assam</v>
      </c>
      <c r="B54" s="4" t="n">
        <v>8</v>
      </c>
      <c r="C54" s="4" t="s">
        <v>69</v>
      </c>
      <c r="D54" s="4" t="n">
        <v>1515676</v>
      </c>
      <c r="E54" s="4" t="n">
        <v>651247</v>
      </c>
      <c r="F54" s="4" t="n">
        <v>581802</v>
      </c>
      <c r="G54" s="4" t="n">
        <v>0</v>
      </c>
      <c r="H54" s="4" t="n">
        <f aca="false">E54+F54+G54</f>
        <v>1233049</v>
      </c>
      <c r="I54" s="4" t="n">
        <v>0</v>
      </c>
      <c r="J54" s="4" t="n">
        <v>425</v>
      </c>
      <c r="K54" s="4" t="n">
        <f aca="false">H54+J54</f>
        <v>1233474</v>
      </c>
      <c r="L54" s="4" t="n">
        <f aca="false">K54/D54*100</f>
        <v>81.3811131138845</v>
      </c>
      <c r="M54" s="4" t="n">
        <v>82.4741210529382</v>
      </c>
      <c r="N54" s="4" t="n">
        <v>80.4134825497261</v>
      </c>
      <c r="O54" s="4" t="n">
        <v>0</v>
      </c>
    </row>
    <row r="55" customFormat="false" ht="15" hidden="false" customHeight="false" outlineLevel="0" collapsed="false">
      <c r="A55" s="1" t="str">
        <f aca="false">A54</f>
        <v>Assam</v>
      </c>
      <c r="B55" s="4" t="n">
        <v>9</v>
      </c>
      <c r="C55" s="4" t="s">
        <v>70</v>
      </c>
      <c r="D55" s="4" t="n">
        <v>1259568</v>
      </c>
      <c r="E55" s="4" t="n">
        <v>505481</v>
      </c>
      <c r="F55" s="4" t="n">
        <v>475043</v>
      </c>
      <c r="G55" s="4" t="n">
        <v>0</v>
      </c>
      <c r="H55" s="4" t="n">
        <f aca="false">E55+F55+G55</f>
        <v>980524</v>
      </c>
      <c r="I55" s="4" t="n">
        <v>0</v>
      </c>
      <c r="J55" s="4" t="n">
        <v>322</v>
      </c>
      <c r="K55" s="4" t="n">
        <f aca="false">H55+J55</f>
        <v>980846</v>
      </c>
      <c r="L55" s="4" t="n">
        <f aca="false">K55/D55*100</f>
        <v>77.8716194758838</v>
      </c>
      <c r="M55" s="4" t="n">
        <v>77.4865217437959</v>
      </c>
      <c r="N55" s="4" t="n">
        <v>78.6819400713208</v>
      </c>
      <c r="O55" s="4" t="n">
        <v>0</v>
      </c>
    </row>
    <row r="56" customFormat="false" ht="15" hidden="false" customHeight="false" outlineLevel="0" collapsed="false">
      <c r="A56" s="1" t="str">
        <f aca="false">A55</f>
        <v>Assam</v>
      </c>
      <c r="B56" s="4" t="n">
        <v>10</v>
      </c>
      <c r="C56" s="4" t="s">
        <v>71</v>
      </c>
      <c r="D56" s="4" t="n">
        <v>1523881</v>
      </c>
      <c r="E56" s="4" t="n">
        <v>639499</v>
      </c>
      <c r="F56" s="4" t="n">
        <v>590545</v>
      </c>
      <c r="G56" s="4" t="n">
        <v>0</v>
      </c>
      <c r="H56" s="4" t="n">
        <f aca="false">E56+F56+G56</f>
        <v>1230044</v>
      </c>
      <c r="I56" s="4" t="n">
        <v>0</v>
      </c>
      <c r="J56" s="4" t="n">
        <v>451</v>
      </c>
      <c r="K56" s="4" t="n">
        <f aca="false">H56+J56</f>
        <v>1230495</v>
      </c>
      <c r="L56" s="4" t="n">
        <f aca="false">K56/D56*100</f>
        <v>80.7474468150728</v>
      </c>
      <c r="M56" s="4" t="n">
        <v>80.9358195033482</v>
      </c>
      <c r="N56" s="4" t="n">
        <v>80.8429753423757</v>
      </c>
      <c r="O56" s="4" t="n">
        <v>0</v>
      </c>
    </row>
    <row r="57" customFormat="false" ht="15" hidden="false" customHeight="false" outlineLevel="0" collapsed="false">
      <c r="A57" s="1" t="str">
        <f aca="false">A56</f>
        <v>Assam</v>
      </c>
      <c r="B57" s="4" t="n">
        <v>11</v>
      </c>
      <c r="C57" s="4" t="s">
        <v>72</v>
      </c>
      <c r="D57" s="4" t="n">
        <v>1457219</v>
      </c>
      <c r="E57" s="4" t="n">
        <v>605354</v>
      </c>
      <c r="F57" s="4" t="n">
        <v>561208</v>
      </c>
      <c r="G57" s="4" t="n">
        <v>0</v>
      </c>
      <c r="H57" s="4" t="n">
        <f aca="false">E57+F57+G57</f>
        <v>1166562</v>
      </c>
      <c r="I57" s="4" t="n">
        <v>0</v>
      </c>
      <c r="J57" s="4" t="n">
        <v>829</v>
      </c>
      <c r="K57" s="4" t="n">
        <f aca="false">H57+J57</f>
        <v>1167391</v>
      </c>
      <c r="L57" s="4" t="n">
        <f aca="false">K57/D57*100</f>
        <v>80.110882441143</v>
      </c>
      <c r="M57" s="4" t="n">
        <v>80.5926553130758</v>
      </c>
      <c r="N57" s="4" t="n">
        <v>79.729050112659</v>
      </c>
      <c r="O57" s="4" t="n">
        <v>0</v>
      </c>
    </row>
    <row r="58" customFormat="false" ht="15" hidden="false" customHeight="false" outlineLevel="0" collapsed="false">
      <c r="A58" s="1" t="str">
        <f aca="false">A57</f>
        <v>Assam</v>
      </c>
      <c r="B58" s="4" t="n">
        <v>12</v>
      </c>
      <c r="C58" s="4" t="s">
        <v>73</v>
      </c>
      <c r="D58" s="4" t="n">
        <v>1189486</v>
      </c>
      <c r="E58" s="4" t="n">
        <v>483784</v>
      </c>
      <c r="F58" s="4" t="n">
        <v>447088</v>
      </c>
      <c r="G58" s="4" t="n">
        <v>0</v>
      </c>
      <c r="H58" s="4" t="n">
        <f aca="false">E58+F58+G58</f>
        <v>930872</v>
      </c>
      <c r="I58" s="4" t="n">
        <v>0</v>
      </c>
      <c r="J58" s="4" t="n">
        <v>696</v>
      </c>
      <c r="K58" s="4" t="n">
        <f aca="false">H58+J58</f>
        <v>931568</v>
      </c>
      <c r="L58" s="4" t="n">
        <f aca="false">K58/D58*100</f>
        <v>78.3168528255062</v>
      </c>
      <c r="M58" s="4" t="n">
        <v>79.2922140927805</v>
      </c>
      <c r="N58" s="4" t="n">
        <v>77.3947845836392</v>
      </c>
      <c r="O58" s="4" t="n">
        <v>0</v>
      </c>
    </row>
    <row r="59" customFormat="false" ht="15" hidden="false" customHeight="false" outlineLevel="0" collapsed="false">
      <c r="A59" s="1" t="str">
        <f aca="false">A58</f>
        <v>Assam</v>
      </c>
      <c r="B59" s="4" t="n">
        <v>13</v>
      </c>
      <c r="C59" s="4" t="s">
        <v>74</v>
      </c>
      <c r="D59" s="4" t="n">
        <v>1124305</v>
      </c>
      <c r="E59" s="4" t="n">
        <v>462187</v>
      </c>
      <c r="F59" s="4" t="n">
        <v>428637</v>
      </c>
      <c r="G59" s="4" t="n">
        <v>0</v>
      </c>
      <c r="H59" s="4" t="n">
        <f aca="false">E59+F59+G59</f>
        <v>890824</v>
      </c>
      <c r="I59" s="4" t="n">
        <v>0</v>
      </c>
      <c r="J59" s="4" t="n">
        <v>305</v>
      </c>
      <c r="K59" s="4" t="n">
        <f aca="false">H59+J59</f>
        <v>891129</v>
      </c>
      <c r="L59" s="4" t="n">
        <f aca="false">K59/D59*100</f>
        <v>79.2604320002135</v>
      </c>
      <c r="M59" s="4" t="n">
        <v>79.9253985574288</v>
      </c>
      <c r="N59" s="4" t="n">
        <v>78.7770577489276</v>
      </c>
      <c r="O59" s="4" t="n">
        <v>0</v>
      </c>
    </row>
    <row r="60" customFormat="false" ht="15" hidden="false" customHeight="false" outlineLevel="0" collapsed="false">
      <c r="A60" s="1" t="str">
        <f aca="false">A59</f>
        <v>Assam</v>
      </c>
      <c r="B60" s="4" t="n">
        <v>14</v>
      </c>
      <c r="C60" s="4" t="s">
        <v>75</v>
      </c>
      <c r="D60" s="4" t="n">
        <v>1431080</v>
      </c>
      <c r="E60" s="4" t="n">
        <v>572467</v>
      </c>
      <c r="F60" s="4" t="n">
        <v>539555</v>
      </c>
      <c r="G60" s="4" t="n">
        <v>0</v>
      </c>
      <c r="H60" s="4" t="n">
        <f aca="false">E60+F60+G60</f>
        <v>1112022</v>
      </c>
      <c r="I60" s="4" t="n">
        <v>0</v>
      </c>
      <c r="J60" s="4" t="n">
        <v>648</v>
      </c>
      <c r="K60" s="4" t="n">
        <f aca="false">H60+J60</f>
        <v>1112670</v>
      </c>
      <c r="L60" s="4" t="n">
        <f aca="false">K60/D60*100</f>
        <v>77.750370349666</v>
      </c>
      <c r="M60" s="4" t="n">
        <v>77.9656931175137</v>
      </c>
      <c r="N60" s="4" t="n">
        <v>77.5865911826327</v>
      </c>
      <c r="O60" s="4" t="n">
        <v>0</v>
      </c>
    </row>
    <row r="61" customFormat="false" ht="15" hidden="false" customHeight="false" outlineLevel="0" collapsed="false">
      <c r="A61" s="4" t="s">
        <v>76</v>
      </c>
      <c r="B61" s="4" t="n">
        <v>1</v>
      </c>
      <c r="C61" s="4" t="s">
        <v>77</v>
      </c>
      <c r="D61" s="4" t="n">
        <v>1456598</v>
      </c>
      <c r="E61" s="4" t="n">
        <v>484433</v>
      </c>
      <c r="F61" s="4" t="n">
        <v>415396</v>
      </c>
      <c r="G61" s="4" t="n">
        <v>9</v>
      </c>
      <c r="H61" s="4" t="n">
        <f aca="false">E61+F61+G61</f>
        <v>899838</v>
      </c>
      <c r="I61" s="4" t="n">
        <v>0</v>
      </c>
      <c r="J61" s="4" t="n">
        <v>331</v>
      </c>
      <c r="K61" s="4" t="n">
        <f aca="false">H61+J61</f>
        <v>900169</v>
      </c>
      <c r="L61" s="4" t="n">
        <f aca="false">K61/D61*100</f>
        <v>61.7994120546644</v>
      </c>
      <c r="M61" s="4" t="n">
        <v>61.6301096773291</v>
      </c>
      <c r="N61" s="4" t="n">
        <v>61.9909833142066</v>
      </c>
      <c r="O61" s="4" t="n">
        <v>18</v>
      </c>
    </row>
    <row r="62" customFormat="false" ht="15" hidden="false" customHeight="false" outlineLevel="0" collapsed="false">
      <c r="A62" s="1" t="str">
        <f aca="false">A61</f>
        <v>Bihar</v>
      </c>
      <c r="B62" s="4" t="n">
        <v>2</v>
      </c>
      <c r="C62" s="4" t="s">
        <v>78</v>
      </c>
      <c r="D62" s="4" t="n">
        <v>1413148</v>
      </c>
      <c r="E62" s="4" t="n">
        <v>469048</v>
      </c>
      <c r="F62" s="4" t="n">
        <v>385593</v>
      </c>
      <c r="G62" s="4" t="n">
        <v>0</v>
      </c>
      <c r="H62" s="4" t="n">
        <f aca="false">E62+F62+G62</f>
        <v>854641</v>
      </c>
      <c r="I62" s="4" t="n">
        <v>0</v>
      </c>
      <c r="J62" s="4" t="n">
        <v>192</v>
      </c>
      <c r="K62" s="4" t="n">
        <f aca="false">H62+J62</f>
        <v>854833</v>
      </c>
      <c r="L62" s="4" t="n">
        <f aca="false">K62/D62*100</f>
        <v>60.4913993438762</v>
      </c>
      <c r="M62" s="4" t="n">
        <v>61.0125485676526</v>
      </c>
      <c r="N62" s="4" t="n">
        <v>59.9288487421863</v>
      </c>
      <c r="O62" s="4" t="n">
        <v>0</v>
      </c>
    </row>
    <row r="63" customFormat="false" ht="15" hidden="false" customHeight="false" outlineLevel="0" collapsed="false">
      <c r="A63" s="1" t="str">
        <f aca="false">A62</f>
        <v>Bihar</v>
      </c>
      <c r="B63" s="4" t="n">
        <v>3</v>
      </c>
      <c r="C63" s="4" t="s">
        <v>79</v>
      </c>
      <c r="D63" s="4" t="n">
        <v>1439253</v>
      </c>
      <c r="E63" s="4" t="n">
        <v>442071</v>
      </c>
      <c r="F63" s="4" t="n">
        <v>380577</v>
      </c>
      <c r="G63" s="4" t="n">
        <v>0</v>
      </c>
      <c r="H63" s="4" t="n">
        <f aca="false">E63+F63+G63</f>
        <v>822648</v>
      </c>
      <c r="I63" s="4" t="n">
        <v>0</v>
      </c>
      <c r="J63" s="4" t="n">
        <v>41</v>
      </c>
      <c r="K63" s="4" t="n">
        <f aca="false">H63+J63</f>
        <v>822689</v>
      </c>
      <c r="L63" s="4" t="n">
        <f aca="false">K63/D63*100</f>
        <v>57.1608327375382</v>
      </c>
      <c r="M63" s="4" t="n">
        <v>56.7155428229797</v>
      </c>
      <c r="N63" s="4" t="n">
        <v>57.7089117588635</v>
      </c>
      <c r="O63" s="4" t="n">
        <v>0</v>
      </c>
    </row>
    <row r="64" customFormat="false" ht="15" hidden="false" customHeight="false" outlineLevel="0" collapsed="false">
      <c r="A64" s="1" t="str">
        <f aca="false">A63</f>
        <v>Bihar</v>
      </c>
      <c r="B64" s="4" t="n">
        <v>4</v>
      </c>
      <c r="C64" s="4" t="s">
        <v>80</v>
      </c>
      <c r="D64" s="4" t="n">
        <v>1485801</v>
      </c>
      <c r="E64" s="4" t="n">
        <v>433327</v>
      </c>
      <c r="F64" s="4" t="n">
        <v>409336</v>
      </c>
      <c r="G64" s="4" t="n">
        <v>0</v>
      </c>
      <c r="H64" s="4" t="n">
        <f aca="false">E64+F64+G64</f>
        <v>842663</v>
      </c>
      <c r="I64" s="4" t="n">
        <v>0</v>
      </c>
      <c r="J64" s="4" t="n">
        <v>263</v>
      </c>
      <c r="K64" s="4" t="n">
        <f aca="false">H64+J64</f>
        <v>842926</v>
      </c>
      <c r="L64" s="4" t="n">
        <f aca="false">K64/D64*100</f>
        <v>56.732092655746</v>
      </c>
      <c r="M64" s="4" t="n">
        <v>54.7245441905048</v>
      </c>
      <c r="N64" s="4" t="n">
        <v>59.0606815692917</v>
      </c>
      <c r="O64" s="4" t="n">
        <v>0</v>
      </c>
    </row>
    <row r="65" customFormat="false" ht="15" hidden="false" customHeight="false" outlineLevel="0" collapsed="false">
      <c r="A65" s="4" t="str">
        <f aca="false">A64</f>
        <v>Bihar</v>
      </c>
      <c r="B65" s="4" t="n">
        <v>5</v>
      </c>
      <c r="C65" s="4" t="s">
        <v>81</v>
      </c>
      <c r="D65" s="4" t="n">
        <v>1574914</v>
      </c>
      <c r="E65" s="4" t="n">
        <v>448849</v>
      </c>
      <c r="F65" s="4" t="n">
        <v>451628</v>
      </c>
      <c r="G65" s="4" t="n">
        <v>0</v>
      </c>
      <c r="H65" s="4" t="n">
        <f aca="false">E65+F65+G65</f>
        <v>900477</v>
      </c>
      <c r="I65" s="4" t="n">
        <v>0</v>
      </c>
      <c r="J65" s="4" t="n">
        <v>114</v>
      </c>
      <c r="K65" s="4" t="n">
        <f aca="false">H65+J65</f>
        <v>900591</v>
      </c>
      <c r="L65" s="4" t="n">
        <f aca="false">K65/D65*100</f>
        <v>57.183503353199</v>
      </c>
      <c r="M65" s="4" t="n">
        <v>54.0086972425842</v>
      </c>
      <c r="N65" s="4" t="n">
        <v>60.871885833203</v>
      </c>
      <c r="O65" s="4" t="n">
        <v>0</v>
      </c>
    </row>
    <row r="66" customFormat="false" ht="15" hidden="false" customHeight="false" outlineLevel="0" collapsed="false">
      <c r="A66" s="1" t="str">
        <f aca="false">A65</f>
        <v>Bihar</v>
      </c>
      <c r="B66" s="4" t="n">
        <v>6</v>
      </c>
      <c r="C66" s="4" t="s">
        <v>82</v>
      </c>
      <c r="D66" s="4" t="n">
        <v>1627832</v>
      </c>
      <c r="E66" s="4" t="n">
        <v>413708</v>
      </c>
      <c r="F66" s="4" t="n">
        <v>446640</v>
      </c>
      <c r="G66" s="4" t="n">
        <v>0</v>
      </c>
      <c r="H66" s="4" t="n">
        <f aca="false">E66+F66+G66</f>
        <v>860348</v>
      </c>
      <c r="I66" s="4" t="n">
        <v>0</v>
      </c>
      <c r="J66" s="4" t="n">
        <v>121</v>
      </c>
      <c r="K66" s="4" t="n">
        <f aca="false">H66+J66</f>
        <v>860469</v>
      </c>
      <c r="L66" s="4" t="n">
        <f aca="false">K66/D66*100</f>
        <v>52.8598160006684</v>
      </c>
      <c r="M66" s="4" t="n">
        <v>47.1504557105426</v>
      </c>
      <c r="N66" s="4" t="n">
        <v>59.5917278185457</v>
      </c>
      <c r="O66" s="4" t="n">
        <v>0</v>
      </c>
    </row>
    <row r="67" customFormat="false" ht="15" hidden="false" customHeight="false" outlineLevel="0" collapsed="false">
      <c r="A67" s="1" t="str">
        <f aca="false">A66</f>
        <v>Bihar</v>
      </c>
      <c r="B67" s="4" t="n">
        <v>7</v>
      </c>
      <c r="C67" s="4" t="s">
        <v>83</v>
      </c>
      <c r="D67" s="4" t="n">
        <v>1668405</v>
      </c>
      <c r="E67" s="4" t="n">
        <v>450499</v>
      </c>
      <c r="F67" s="4" t="n">
        <v>490640</v>
      </c>
      <c r="G67" s="4" t="n">
        <v>0</v>
      </c>
      <c r="H67" s="4" t="n">
        <f aca="false">E67+F67+G67</f>
        <v>941139</v>
      </c>
      <c r="I67" s="4" t="n">
        <v>0</v>
      </c>
      <c r="J67" s="4" t="n">
        <v>126</v>
      </c>
      <c r="K67" s="4" t="n">
        <f aca="false">H67+J67</f>
        <v>941265</v>
      </c>
      <c r="L67" s="4" t="n">
        <f aca="false">K67/D67*100</f>
        <v>56.4170570095391</v>
      </c>
      <c r="M67" s="4" t="n">
        <v>50.3245690565211</v>
      </c>
      <c r="N67" s="4" t="n">
        <v>63.499459017327</v>
      </c>
      <c r="O67" s="4" t="n">
        <v>0</v>
      </c>
    </row>
    <row r="68" customFormat="false" ht="15" hidden="false" customHeight="false" outlineLevel="0" collapsed="false">
      <c r="A68" s="1" t="str">
        <f aca="false">A67</f>
        <v>Bihar</v>
      </c>
      <c r="B68" s="4" t="n">
        <v>8</v>
      </c>
      <c r="C68" s="4" t="s">
        <v>84</v>
      </c>
      <c r="D68" s="4" t="n">
        <v>1525583</v>
      </c>
      <c r="E68" s="4" t="n">
        <v>468476</v>
      </c>
      <c r="F68" s="4" t="n">
        <v>502044</v>
      </c>
      <c r="G68" s="4" t="n">
        <v>0</v>
      </c>
      <c r="H68" s="4" t="n">
        <f aca="false">E68+F68+G68</f>
        <v>970520</v>
      </c>
      <c r="I68" s="4" t="n">
        <v>0</v>
      </c>
      <c r="J68" s="4" t="n">
        <v>24</v>
      </c>
      <c r="K68" s="4" t="n">
        <f aca="false">H68+J68</f>
        <v>970544</v>
      </c>
      <c r="L68" s="4" t="n">
        <f aca="false">K68/D68*100</f>
        <v>63.6179086945777</v>
      </c>
      <c r="M68" s="4" t="n">
        <v>58.7801459729459</v>
      </c>
      <c r="N68" s="4" t="n">
        <v>68.9561205555014</v>
      </c>
      <c r="O68" s="4" t="n">
        <v>0</v>
      </c>
    </row>
    <row r="69" customFormat="false" ht="15" hidden="false" customHeight="false" outlineLevel="0" collapsed="false">
      <c r="A69" s="1" t="str">
        <f aca="false">A68</f>
        <v>Bihar</v>
      </c>
      <c r="B69" s="4" t="n">
        <v>9</v>
      </c>
      <c r="C69" s="4" t="s">
        <v>85</v>
      </c>
      <c r="D69" s="4" t="n">
        <v>1587332</v>
      </c>
      <c r="E69" s="4" t="n">
        <v>492513</v>
      </c>
      <c r="F69" s="4" t="n">
        <v>483291</v>
      </c>
      <c r="G69" s="4" t="n">
        <v>0</v>
      </c>
      <c r="H69" s="4" t="n">
        <f aca="false">E69+F69+G69</f>
        <v>975804</v>
      </c>
      <c r="I69" s="4" t="n">
        <v>0</v>
      </c>
      <c r="J69" s="4" t="n">
        <v>9</v>
      </c>
      <c r="K69" s="4" t="n">
        <f aca="false">H69+J69</f>
        <v>975813</v>
      </c>
      <c r="L69" s="4" t="n">
        <f aca="false">K69/D69*100</f>
        <v>61.4750411382118</v>
      </c>
      <c r="M69" s="4" t="n">
        <v>58.4299428647356</v>
      </c>
      <c r="N69" s="4" t="n">
        <v>64.9466830615413</v>
      </c>
      <c r="O69" s="4" t="n">
        <v>0</v>
      </c>
    </row>
    <row r="70" customFormat="false" ht="15" hidden="false" customHeight="false" outlineLevel="0" collapsed="false">
      <c r="A70" s="1" t="str">
        <f aca="false">A69</f>
        <v>Bihar</v>
      </c>
      <c r="B70" s="4" t="n">
        <v>10</v>
      </c>
      <c r="C70" s="4" t="s">
        <v>86</v>
      </c>
      <c r="D70" s="4" t="n">
        <v>1438990</v>
      </c>
      <c r="E70" s="4" t="n">
        <v>471096</v>
      </c>
      <c r="F70" s="4" t="n">
        <v>457126</v>
      </c>
      <c r="G70" s="4" t="n">
        <v>0</v>
      </c>
      <c r="H70" s="4" t="n">
        <f aca="false">E70+F70+G70</f>
        <v>928222</v>
      </c>
      <c r="I70" s="4" t="n">
        <v>0</v>
      </c>
      <c r="J70" s="4" t="n">
        <v>277</v>
      </c>
      <c r="K70" s="4" t="n">
        <f aca="false">H70+J70</f>
        <v>928499</v>
      </c>
      <c r="L70" s="4" t="n">
        <f aca="false">K70/D70*100</f>
        <v>64.5243538871014</v>
      </c>
      <c r="M70" s="4" t="n">
        <v>61.7561117570949</v>
      </c>
      <c r="N70" s="4" t="n">
        <v>67.6140876610939</v>
      </c>
      <c r="O70" s="4" t="n">
        <v>0</v>
      </c>
    </row>
    <row r="71" customFormat="false" ht="15" hidden="false" customHeight="false" outlineLevel="0" collapsed="false">
      <c r="A71" s="1" t="str">
        <f aca="false">A70</f>
        <v>Bihar</v>
      </c>
      <c r="B71" s="4" t="n">
        <v>11</v>
      </c>
      <c r="C71" s="4" t="s">
        <v>87</v>
      </c>
      <c r="D71" s="4" t="n">
        <v>1446478</v>
      </c>
      <c r="E71" s="4" t="n">
        <v>495600</v>
      </c>
      <c r="F71" s="4" t="n">
        <v>481934</v>
      </c>
      <c r="G71" s="4" t="n">
        <v>0</v>
      </c>
      <c r="H71" s="4" t="n">
        <f aca="false">E71+F71+G71</f>
        <v>977534</v>
      </c>
      <c r="I71" s="4" t="n">
        <v>0</v>
      </c>
      <c r="J71" s="4" t="n">
        <v>299</v>
      </c>
      <c r="K71" s="4" t="n">
        <f aca="false">H71+J71</f>
        <v>977833</v>
      </c>
      <c r="L71" s="4" t="n">
        <f aca="false">K71/D71*100</f>
        <v>67.6009590190794</v>
      </c>
      <c r="M71" s="4" t="n">
        <v>64.5078994843013</v>
      </c>
      <c r="N71" s="4" t="n">
        <v>71.1687299072169</v>
      </c>
      <c r="O71" s="4" t="n">
        <v>0</v>
      </c>
    </row>
    <row r="72" customFormat="false" ht="15" hidden="false" customHeight="false" outlineLevel="0" collapsed="false">
      <c r="A72" s="1" t="str">
        <f aca="false">A71</f>
        <v>Bihar</v>
      </c>
      <c r="B72" s="4" t="n">
        <v>12</v>
      </c>
      <c r="C72" s="4" t="s">
        <v>88</v>
      </c>
      <c r="D72" s="4" t="n">
        <v>1582626</v>
      </c>
      <c r="E72" s="4" t="n">
        <v>511262</v>
      </c>
      <c r="F72" s="4" t="n">
        <v>506106</v>
      </c>
      <c r="G72" s="4" t="n">
        <v>0</v>
      </c>
      <c r="H72" s="4" t="n">
        <f aca="false">E72+F72+G72</f>
        <v>1017368</v>
      </c>
      <c r="I72" s="4" t="n">
        <v>0</v>
      </c>
      <c r="J72" s="4" t="n">
        <v>382</v>
      </c>
      <c r="K72" s="4" t="n">
        <f aca="false">H72+J72</f>
        <v>1017750</v>
      </c>
      <c r="L72" s="4" t="n">
        <f aca="false">K72/D72*100</f>
        <v>64.3076759765099</v>
      </c>
      <c r="M72" s="4" t="n">
        <v>61.8562862659885</v>
      </c>
      <c r="N72" s="4" t="n">
        <v>66.9751820258264</v>
      </c>
      <c r="O72" s="4" t="n">
        <v>0</v>
      </c>
    </row>
    <row r="73" customFormat="false" ht="15" hidden="false" customHeight="false" outlineLevel="0" collapsed="false">
      <c r="A73" s="1" t="str">
        <f aca="false">A72</f>
        <v>Bihar</v>
      </c>
      <c r="B73" s="4" t="n">
        <v>13</v>
      </c>
      <c r="C73" s="4" t="s">
        <v>89</v>
      </c>
      <c r="D73" s="4" t="n">
        <v>1725693</v>
      </c>
      <c r="E73" s="4" t="n">
        <v>508782</v>
      </c>
      <c r="F73" s="4" t="n">
        <v>525869</v>
      </c>
      <c r="G73" s="4" t="n">
        <v>0</v>
      </c>
      <c r="H73" s="4" t="n">
        <f aca="false">E73+F73+G73</f>
        <v>1034651</v>
      </c>
      <c r="I73" s="4" t="n">
        <v>0</v>
      </c>
      <c r="J73" s="4" t="n">
        <v>148</v>
      </c>
      <c r="K73" s="4" t="n">
        <f aca="false">H73+J73</f>
        <v>1034799</v>
      </c>
      <c r="L73" s="4" t="n">
        <f aca="false">K73/D73*100</f>
        <v>59.9642578372862</v>
      </c>
      <c r="M73" s="4" t="n">
        <v>56.6527590802954</v>
      </c>
      <c r="N73" s="4" t="n">
        <v>63.641259491082</v>
      </c>
      <c r="O73" s="4" t="n">
        <v>0</v>
      </c>
    </row>
    <row r="74" customFormat="false" ht="15" hidden="false" customHeight="false" outlineLevel="0" collapsed="false">
      <c r="A74" s="1" t="str">
        <f aca="false">A73</f>
        <v>Bihar</v>
      </c>
      <c r="B74" s="4" t="n">
        <v>14</v>
      </c>
      <c r="C74" s="4" t="s">
        <v>90</v>
      </c>
      <c r="D74" s="4" t="n">
        <v>1495445</v>
      </c>
      <c r="E74" s="4" t="n">
        <v>407516</v>
      </c>
      <c r="F74" s="4" t="n">
        <v>421741</v>
      </c>
      <c r="G74" s="4" t="n">
        <v>0</v>
      </c>
      <c r="H74" s="4" t="n">
        <f aca="false">E74+F74+G74</f>
        <v>829257</v>
      </c>
      <c r="I74" s="4" t="n">
        <v>0</v>
      </c>
      <c r="J74" s="4" t="n">
        <v>32</v>
      </c>
      <c r="K74" s="4" t="n">
        <f aca="false">H74+J74</f>
        <v>829289</v>
      </c>
      <c r="L74" s="4" t="n">
        <f aca="false">K74/D74*100</f>
        <v>55.4543296476968</v>
      </c>
      <c r="M74" s="4" t="n">
        <v>51.1379151106292</v>
      </c>
      <c r="N74" s="4" t="n">
        <v>60.4225586186542</v>
      </c>
      <c r="O74" s="4" t="n">
        <v>0</v>
      </c>
    </row>
    <row r="75" customFormat="false" ht="15" hidden="false" customHeight="false" outlineLevel="0" collapsed="false">
      <c r="A75" s="1" t="str">
        <f aca="false">A74</f>
        <v>Bihar</v>
      </c>
      <c r="B75" s="4" t="n">
        <v>15</v>
      </c>
      <c r="C75" s="4" t="s">
        <v>91</v>
      </c>
      <c r="D75" s="4" t="n">
        <v>1551363</v>
      </c>
      <c r="E75" s="4" t="n">
        <v>490949</v>
      </c>
      <c r="F75" s="4" t="n">
        <v>457916</v>
      </c>
      <c r="G75" s="4" t="n">
        <v>0</v>
      </c>
      <c r="H75" s="4" t="n">
        <f aca="false">E75+F75+G75</f>
        <v>948865</v>
      </c>
      <c r="I75" s="4" t="n">
        <v>0</v>
      </c>
      <c r="J75" s="4" t="n">
        <v>62</v>
      </c>
      <c r="K75" s="4" t="n">
        <f aca="false">H75+J75</f>
        <v>948927</v>
      </c>
      <c r="L75" s="4" t="n">
        <f aca="false">K75/D75*100</f>
        <v>61.1673090050491</v>
      </c>
      <c r="M75" s="4" t="n">
        <v>59.2244054024059</v>
      </c>
      <c r="N75" s="4" t="n">
        <v>63.6499223689898</v>
      </c>
      <c r="O75" s="4" t="n">
        <v>0</v>
      </c>
    </row>
    <row r="76" customFormat="false" ht="15" hidden="false" customHeight="false" outlineLevel="0" collapsed="false">
      <c r="A76" s="1" t="str">
        <f aca="false">A75</f>
        <v>Bihar</v>
      </c>
      <c r="B76" s="4" t="n">
        <v>16</v>
      </c>
      <c r="C76" s="4" t="s">
        <v>92</v>
      </c>
      <c r="D76" s="4" t="n">
        <v>1566321</v>
      </c>
      <c r="E76" s="4" t="n">
        <v>480759</v>
      </c>
      <c r="F76" s="4" t="n">
        <v>445167</v>
      </c>
      <c r="G76" s="4" t="n">
        <v>0</v>
      </c>
      <c r="H76" s="4" t="n">
        <f aca="false">E76+F76+G76</f>
        <v>925926</v>
      </c>
      <c r="I76" s="4" t="n">
        <v>0</v>
      </c>
      <c r="J76" s="4" t="n">
        <v>25</v>
      </c>
      <c r="K76" s="4" t="n">
        <f aca="false">H76+J76</f>
        <v>925951</v>
      </c>
      <c r="L76" s="4" t="n">
        <f aca="false">K76/D76*100</f>
        <v>59.1162986386571</v>
      </c>
      <c r="M76" s="4" t="n">
        <v>57.2200672940622</v>
      </c>
      <c r="N76" s="4" t="n">
        <v>61.5147683697793</v>
      </c>
      <c r="O76" s="4" t="n">
        <v>0</v>
      </c>
    </row>
    <row r="77" customFormat="false" ht="15" hidden="false" customHeight="false" outlineLevel="0" collapsed="false">
      <c r="A77" s="1" t="str">
        <f aca="false">A76</f>
        <v>Bihar</v>
      </c>
      <c r="B77" s="4" t="n">
        <v>17</v>
      </c>
      <c r="C77" s="4" t="s">
        <v>93</v>
      </c>
      <c r="D77" s="4" t="n">
        <v>1654838</v>
      </c>
      <c r="E77" s="4" t="n">
        <v>444922</v>
      </c>
      <c r="F77" s="4" t="n">
        <v>458639</v>
      </c>
      <c r="G77" s="4" t="n">
        <v>0</v>
      </c>
      <c r="H77" s="4" t="n">
        <f aca="false">E77+F77+G77</f>
        <v>903561</v>
      </c>
      <c r="I77" s="4" t="n">
        <v>0</v>
      </c>
      <c r="J77" s="4" t="n">
        <v>29</v>
      </c>
      <c r="K77" s="4" t="n">
        <f aca="false">H77+J77</f>
        <v>903590</v>
      </c>
      <c r="L77" s="4" t="n">
        <f aca="false">K77/D77*100</f>
        <v>54.6029278998911</v>
      </c>
      <c r="M77" s="4" t="n">
        <v>51.0929492001116</v>
      </c>
      <c r="N77" s="4" t="n">
        <v>58.5905233479861</v>
      </c>
      <c r="O77" s="4" t="n">
        <v>0</v>
      </c>
    </row>
    <row r="78" customFormat="false" ht="15" hidden="false" customHeight="false" outlineLevel="0" collapsed="false">
      <c r="A78" s="1" t="str">
        <f aca="false">A77</f>
        <v>Bihar</v>
      </c>
      <c r="B78" s="4" t="n">
        <v>18</v>
      </c>
      <c r="C78" s="4" t="s">
        <v>94</v>
      </c>
      <c r="D78" s="4" t="n">
        <v>1563860</v>
      </c>
      <c r="E78" s="4" t="n">
        <v>443827</v>
      </c>
      <c r="F78" s="4" t="n">
        <v>440178</v>
      </c>
      <c r="G78" s="4" t="n">
        <v>0</v>
      </c>
      <c r="H78" s="4" t="n">
        <f aca="false">E78+F78+G78</f>
        <v>884005</v>
      </c>
      <c r="I78" s="4" t="n">
        <v>0</v>
      </c>
      <c r="J78" s="4" t="n">
        <v>39</v>
      </c>
      <c r="K78" s="4" t="n">
        <f aca="false">H78+J78</f>
        <v>884044</v>
      </c>
      <c r="L78" s="4" t="n">
        <f aca="false">K78/D78*100</f>
        <v>56.5296126251711</v>
      </c>
      <c r="M78" s="4" t="n">
        <v>52.7982060646435</v>
      </c>
      <c r="N78" s="4" t="n">
        <v>61.0159201014673</v>
      </c>
      <c r="O78" s="4" t="n">
        <v>0</v>
      </c>
    </row>
    <row r="79" customFormat="false" ht="15" hidden="false" customHeight="false" outlineLevel="0" collapsed="false">
      <c r="A79" s="1" t="str">
        <f aca="false">A78</f>
        <v>Bihar</v>
      </c>
      <c r="B79" s="4" t="n">
        <v>19</v>
      </c>
      <c r="C79" s="4" t="s">
        <v>95</v>
      </c>
      <c r="D79" s="4" t="n">
        <v>1642068</v>
      </c>
      <c r="E79" s="4" t="n">
        <v>420232</v>
      </c>
      <c r="F79" s="4" t="n">
        <v>426095</v>
      </c>
      <c r="G79" s="4" t="n">
        <v>0</v>
      </c>
      <c r="H79" s="4" t="n">
        <f aca="false">E79+F79+G79</f>
        <v>846327</v>
      </c>
      <c r="I79" s="4" t="n">
        <v>0</v>
      </c>
      <c r="J79" s="4" t="n">
        <v>506</v>
      </c>
      <c r="K79" s="4" t="n">
        <f aca="false">H79+J79</f>
        <v>846833</v>
      </c>
      <c r="L79" s="4" t="n">
        <f aca="false">K79/D79*100</f>
        <v>51.5711286012516</v>
      </c>
      <c r="M79" s="4" t="n">
        <v>48.1699230279862</v>
      </c>
      <c r="N79" s="4" t="n">
        <v>55.6378911411843</v>
      </c>
      <c r="O79" s="4" t="n">
        <v>0</v>
      </c>
    </row>
    <row r="80" customFormat="false" ht="15" hidden="false" customHeight="false" outlineLevel="0" collapsed="false">
      <c r="A80" s="1" t="str">
        <f aca="false">A79</f>
        <v>Bihar</v>
      </c>
      <c r="B80" s="4" t="n">
        <v>20</v>
      </c>
      <c r="C80" s="4" t="s">
        <v>96</v>
      </c>
      <c r="D80" s="4" t="n">
        <v>1538740</v>
      </c>
      <c r="E80" s="4" t="n">
        <v>450511</v>
      </c>
      <c r="F80" s="4" t="n">
        <v>411954</v>
      </c>
      <c r="G80" s="4" t="n">
        <v>0</v>
      </c>
      <c r="H80" s="4" t="n">
        <f aca="false">E80+F80+G80</f>
        <v>862465</v>
      </c>
      <c r="I80" s="4" t="n">
        <v>0</v>
      </c>
      <c r="J80" s="4" t="n">
        <v>1127</v>
      </c>
      <c r="K80" s="4" t="n">
        <f aca="false">H80+J80</f>
        <v>863592</v>
      </c>
      <c r="L80" s="4" t="n">
        <f aca="false">K80/D80*100</f>
        <v>56.1233216787761</v>
      </c>
      <c r="M80" s="4" t="n">
        <v>54.2503281432511</v>
      </c>
      <c r="N80" s="4" t="n">
        <v>58.4266443902031</v>
      </c>
      <c r="O80" s="4" t="n">
        <v>0</v>
      </c>
    </row>
    <row r="81" customFormat="false" ht="15" hidden="false" customHeight="false" outlineLevel="0" collapsed="false">
      <c r="A81" s="1" t="str">
        <f aca="false">A80</f>
        <v>Bihar</v>
      </c>
      <c r="B81" s="4" t="n">
        <v>21</v>
      </c>
      <c r="C81" s="4" t="s">
        <v>97</v>
      </c>
      <c r="D81" s="4" t="n">
        <v>1649547</v>
      </c>
      <c r="E81" s="4" t="n">
        <v>478157</v>
      </c>
      <c r="F81" s="4" t="n">
        <v>425876</v>
      </c>
      <c r="G81" s="4" t="n">
        <v>0</v>
      </c>
      <c r="H81" s="4" t="n">
        <f aca="false">E81+F81+G81</f>
        <v>904033</v>
      </c>
      <c r="I81" s="4" t="n">
        <v>0</v>
      </c>
      <c r="J81" s="4" t="n">
        <v>1671</v>
      </c>
      <c r="K81" s="4" t="n">
        <f aca="false">H81+J81</f>
        <v>905704</v>
      </c>
      <c r="L81" s="4" t="n">
        <f aca="false">K81/D81*100</f>
        <v>54.9062257698629</v>
      </c>
      <c r="M81" s="4" t="n">
        <v>53.502777762237</v>
      </c>
      <c r="N81" s="4" t="n">
        <v>56.511008258848</v>
      </c>
      <c r="O81" s="4" t="n">
        <v>0</v>
      </c>
    </row>
    <row r="82" customFormat="false" ht="15" hidden="false" customHeight="false" outlineLevel="0" collapsed="false">
      <c r="A82" s="1" t="str">
        <f aca="false">A81</f>
        <v>Bihar</v>
      </c>
      <c r="B82" s="4" t="n">
        <v>22</v>
      </c>
      <c r="C82" s="4" t="s">
        <v>98</v>
      </c>
      <c r="D82" s="4" t="n">
        <v>1426217</v>
      </c>
      <c r="E82" s="4" t="n">
        <v>433858</v>
      </c>
      <c r="F82" s="4" t="n">
        <v>425047</v>
      </c>
      <c r="G82" s="4" t="n">
        <v>0</v>
      </c>
      <c r="H82" s="4" t="n">
        <f aca="false">E82+F82+G82</f>
        <v>858905</v>
      </c>
      <c r="I82" s="4" t="n">
        <v>0</v>
      </c>
      <c r="J82" s="4" t="n">
        <v>20</v>
      </c>
      <c r="K82" s="4" t="n">
        <f aca="false">H82+J82</f>
        <v>858925</v>
      </c>
      <c r="L82" s="4" t="n">
        <f aca="false">K82/D82*100</f>
        <v>60.224005182942</v>
      </c>
      <c r="M82" s="4" t="n">
        <v>56.8890392439936</v>
      </c>
      <c r="N82" s="4" t="n">
        <v>64.2699887804568</v>
      </c>
      <c r="O82" s="4" t="n">
        <v>0</v>
      </c>
    </row>
    <row r="83" customFormat="false" ht="15" hidden="false" customHeight="false" outlineLevel="0" collapsed="false">
      <c r="A83" s="1" t="str">
        <f aca="false">A82</f>
        <v>Bihar</v>
      </c>
      <c r="B83" s="4" t="n">
        <v>23</v>
      </c>
      <c r="C83" s="4" t="s">
        <v>99</v>
      </c>
      <c r="D83" s="4" t="n">
        <v>1504451</v>
      </c>
      <c r="E83" s="4" t="n">
        <v>430782</v>
      </c>
      <c r="F83" s="4" t="n">
        <v>432401</v>
      </c>
      <c r="G83" s="4" t="n">
        <v>0</v>
      </c>
      <c r="H83" s="4" t="n">
        <f aca="false">E83+F83+G83</f>
        <v>863183</v>
      </c>
      <c r="I83" s="4" t="n">
        <v>0</v>
      </c>
      <c r="J83" s="4" t="n">
        <v>28</v>
      </c>
      <c r="K83" s="4" t="n">
        <f aca="false">H83+J83</f>
        <v>863211</v>
      </c>
      <c r="L83" s="4" t="n">
        <f aca="false">K83/D83*100</f>
        <v>57.3771428913271</v>
      </c>
      <c r="M83" s="4" t="n">
        <v>53.7398001763957</v>
      </c>
      <c r="N83" s="4" t="n">
        <v>61.6313161619343</v>
      </c>
      <c r="O83" s="4" t="n">
        <v>0</v>
      </c>
    </row>
    <row r="84" customFormat="false" ht="15" hidden="false" customHeight="false" outlineLevel="0" collapsed="false">
      <c r="A84" s="1" t="str">
        <f aca="false">A83</f>
        <v>Bihar</v>
      </c>
      <c r="B84" s="4" t="n">
        <v>24</v>
      </c>
      <c r="C84" s="4" t="s">
        <v>100</v>
      </c>
      <c r="D84" s="4" t="n">
        <v>1778759</v>
      </c>
      <c r="E84" s="4" t="n">
        <v>545214</v>
      </c>
      <c r="F84" s="4" t="n">
        <v>532151</v>
      </c>
      <c r="G84" s="4" t="n">
        <v>0</v>
      </c>
      <c r="H84" s="4" t="n">
        <f aca="false">E84+F84+G84</f>
        <v>1077365</v>
      </c>
      <c r="I84" s="4" t="n">
        <v>0</v>
      </c>
      <c r="J84" s="4" t="n">
        <v>768</v>
      </c>
      <c r="K84" s="4" t="n">
        <f aca="false">H84+J84</f>
        <v>1078133</v>
      </c>
      <c r="L84" s="4" t="n">
        <f aca="false">K84/D84*100</f>
        <v>60.6115274750542</v>
      </c>
      <c r="M84" s="4" t="n">
        <v>57.4612315274051</v>
      </c>
      <c r="N84" s="4" t="n">
        <v>64.232285911894</v>
      </c>
      <c r="O84" s="4" t="n">
        <v>0</v>
      </c>
    </row>
    <row r="85" customFormat="false" ht="15" hidden="false" customHeight="false" outlineLevel="0" collapsed="false">
      <c r="A85" s="1" t="str">
        <f aca="false">A84</f>
        <v>Bihar</v>
      </c>
      <c r="B85" s="4" t="n">
        <v>25</v>
      </c>
      <c r="C85" s="4" t="s">
        <v>101</v>
      </c>
      <c r="D85" s="4" t="n">
        <v>1506587</v>
      </c>
      <c r="E85" s="4" t="n">
        <v>445941</v>
      </c>
      <c r="F85" s="4" t="n">
        <v>450160</v>
      </c>
      <c r="G85" s="4" t="n">
        <v>0</v>
      </c>
      <c r="H85" s="4" t="n">
        <f aca="false">E85+F85+G85</f>
        <v>896101</v>
      </c>
      <c r="I85" s="4" t="n">
        <v>0</v>
      </c>
      <c r="J85" s="4" t="n">
        <v>209</v>
      </c>
      <c r="K85" s="4" t="n">
        <f aca="false">H85+J85</f>
        <v>896310</v>
      </c>
      <c r="L85" s="4" t="n">
        <f aca="false">K85/D85*100</f>
        <v>59.4927475147469</v>
      </c>
      <c r="M85" s="4" t="n">
        <v>55.7859288272522</v>
      </c>
      <c r="N85" s="4" t="n">
        <v>63.8279469877536</v>
      </c>
      <c r="O85" s="4" t="n">
        <v>0</v>
      </c>
    </row>
    <row r="86" customFormat="false" ht="15" hidden="false" customHeight="false" outlineLevel="0" collapsed="false">
      <c r="A86" s="1" t="str">
        <f aca="false">A85</f>
        <v>Bihar</v>
      </c>
      <c r="B86" s="4" t="n">
        <v>26</v>
      </c>
      <c r="C86" s="4" t="s">
        <v>102</v>
      </c>
      <c r="D86" s="4" t="n">
        <v>1685339</v>
      </c>
      <c r="E86" s="4" t="n">
        <v>522417</v>
      </c>
      <c r="F86" s="4" t="n">
        <v>451535</v>
      </c>
      <c r="G86" s="4" t="n">
        <v>1</v>
      </c>
      <c r="H86" s="4" t="n">
        <f aca="false">E86+F86+G86</f>
        <v>973953</v>
      </c>
      <c r="I86" s="4" t="n">
        <v>0</v>
      </c>
      <c r="J86" s="4" t="n">
        <v>234</v>
      </c>
      <c r="K86" s="4" t="n">
        <f aca="false">H86+J86</f>
        <v>974187</v>
      </c>
      <c r="L86" s="4" t="n">
        <f aca="false">K86/D86*100</f>
        <v>57.8036228912996</v>
      </c>
      <c r="M86" s="4" t="n">
        <v>58.5121551014465</v>
      </c>
      <c r="N86" s="4" t="n">
        <v>57.2295684730712</v>
      </c>
      <c r="O86" s="4" t="n">
        <v>1.78571428571429</v>
      </c>
    </row>
    <row r="87" customFormat="false" ht="15" hidden="false" customHeight="false" outlineLevel="0" collapsed="false">
      <c r="A87" s="1" t="str">
        <f aca="false">A86</f>
        <v>Bihar</v>
      </c>
      <c r="B87" s="4" t="n">
        <v>27</v>
      </c>
      <c r="C87" s="4" t="s">
        <v>103</v>
      </c>
      <c r="D87" s="4" t="n">
        <v>1549456</v>
      </c>
      <c r="E87" s="4" t="n">
        <v>461297</v>
      </c>
      <c r="F87" s="4" t="n">
        <v>438021</v>
      </c>
      <c r="G87" s="4" t="n">
        <v>0</v>
      </c>
      <c r="H87" s="4" t="n">
        <f aca="false">E87+F87+G87</f>
        <v>899318</v>
      </c>
      <c r="I87" s="4" t="n">
        <v>0</v>
      </c>
      <c r="J87" s="4" t="n">
        <v>42</v>
      </c>
      <c r="K87" s="4" t="n">
        <f aca="false">H87+J87</f>
        <v>899360</v>
      </c>
      <c r="L87" s="4" t="n">
        <f aca="false">K87/D87*100</f>
        <v>58.0435972367076</v>
      </c>
      <c r="M87" s="4" t="n">
        <v>56.0088828018951</v>
      </c>
      <c r="N87" s="4" t="n">
        <v>60.4962944343315</v>
      </c>
      <c r="O87" s="4" t="n">
        <v>0</v>
      </c>
    </row>
    <row r="88" customFormat="false" ht="15" hidden="false" customHeight="false" outlineLevel="0" collapsed="false">
      <c r="A88" s="1" t="str">
        <f aca="false">A87</f>
        <v>Bihar</v>
      </c>
      <c r="B88" s="4" t="n">
        <v>28</v>
      </c>
      <c r="C88" s="4" t="s">
        <v>104</v>
      </c>
      <c r="D88" s="4" t="n">
        <v>1719984</v>
      </c>
      <c r="E88" s="4" t="n">
        <v>505931</v>
      </c>
      <c r="F88" s="4" t="n">
        <v>408329</v>
      </c>
      <c r="G88" s="4" t="n">
        <v>8</v>
      </c>
      <c r="H88" s="4" t="n">
        <f aca="false">E88+F88+G88</f>
        <v>914268</v>
      </c>
      <c r="I88" s="4" t="n">
        <v>0</v>
      </c>
      <c r="J88" s="4" t="n">
        <v>174</v>
      </c>
      <c r="K88" s="4" t="n">
        <f aca="false">H88+J88</f>
        <v>914442</v>
      </c>
      <c r="L88" s="4" t="n">
        <f aca="false">K88/D88*100</f>
        <v>53.165727123043</v>
      </c>
      <c r="M88" s="4" t="n">
        <v>54.0879380277233</v>
      </c>
      <c r="N88" s="4" t="n">
        <v>52.298444990631</v>
      </c>
      <c r="O88" s="4" t="n">
        <v>17.0212765957447</v>
      </c>
    </row>
    <row r="89" customFormat="false" ht="15" hidden="false" customHeight="false" outlineLevel="0" collapsed="false">
      <c r="A89" s="1" t="str">
        <f aca="false">A88</f>
        <v>Bihar</v>
      </c>
      <c r="B89" s="4" t="n">
        <v>29</v>
      </c>
      <c r="C89" s="4" t="s">
        <v>105</v>
      </c>
      <c r="D89" s="4" t="n">
        <v>1951967</v>
      </c>
      <c r="E89" s="4" t="n">
        <v>503039</v>
      </c>
      <c r="F89" s="4" t="n">
        <v>418609</v>
      </c>
      <c r="G89" s="4" t="n">
        <v>0</v>
      </c>
      <c r="H89" s="4" t="n">
        <f aca="false">E89+F89+G89</f>
        <v>921648</v>
      </c>
      <c r="I89" s="4" t="n">
        <v>0</v>
      </c>
      <c r="J89" s="4" t="n">
        <v>193</v>
      </c>
      <c r="K89" s="4" t="n">
        <f aca="false">H89+J89</f>
        <v>921841</v>
      </c>
      <c r="L89" s="4" t="n">
        <f aca="false">K89/D89*100</f>
        <v>47.226259460329</v>
      </c>
      <c r="M89" s="4" t="n">
        <v>48.6176925686418</v>
      </c>
      <c r="N89" s="4" t="n">
        <v>45.7781350130683</v>
      </c>
      <c r="O89" s="4" t="n">
        <v>0</v>
      </c>
    </row>
    <row r="90" customFormat="false" ht="15" hidden="false" customHeight="false" outlineLevel="0" collapsed="false">
      <c r="A90" s="1" t="str">
        <f aca="false">A89</f>
        <v>Bihar</v>
      </c>
      <c r="B90" s="4" t="n">
        <v>30</v>
      </c>
      <c r="C90" s="4" t="s">
        <v>106</v>
      </c>
      <c r="D90" s="4" t="n">
        <v>1946249</v>
      </c>
      <c r="E90" s="4" t="n">
        <v>510480</v>
      </c>
      <c r="F90" s="4" t="n">
        <v>369747</v>
      </c>
      <c r="G90" s="4" t="n">
        <v>0</v>
      </c>
      <c r="H90" s="4" t="n">
        <f aca="false">E90+F90+G90</f>
        <v>880227</v>
      </c>
      <c r="I90" s="4" t="n">
        <v>0</v>
      </c>
      <c r="J90" s="4" t="n">
        <v>2541</v>
      </c>
      <c r="K90" s="4" t="n">
        <f aca="false">H90+J90</f>
        <v>882768</v>
      </c>
      <c r="L90" s="4" t="n">
        <f aca="false">K90/D90*100</f>
        <v>45.3574028811319</v>
      </c>
      <c r="M90" s="4" t="n">
        <v>48.5481120654156</v>
      </c>
      <c r="N90" s="4" t="n">
        <v>41.3839533048671</v>
      </c>
      <c r="O90" s="4" t="n">
        <v>0</v>
      </c>
    </row>
    <row r="91" customFormat="false" ht="15" hidden="false" customHeight="false" outlineLevel="0" collapsed="false">
      <c r="A91" s="1" t="str">
        <f aca="false">A90</f>
        <v>Bihar</v>
      </c>
      <c r="B91" s="4" t="n">
        <v>31</v>
      </c>
      <c r="C91" s="4" t="s">
        <v>107</v>
      </c>
      <c r="D91" s="4" t="n">
        <v>1736074</v>
      </c>
      <c r="E91" s="4" t="n">
        <v>553018</v>
      </c>
      <c r="F91" s="4" t="n">
        <v>423797</v>
      </c>
      <c r="G91" s="4" t="n">
        <v>0</v>
      </c>
      <c r="H91" s="4" t="n">
        <f aca="false">E91+F91+G91</f>
        <v>976815</v>
      </c>
      <c r="I91" s="4" t="n">
        <v>0</v>
      </c>
      <c r="J91" s="4" t="n">
        <v>1980</v>
      </c>
      <c r="K91" s="4" t="n">
        <f aca="false">H91+J91</f>
        <v>978795</v>
      </c>
      <c r="L91" s="4" t="n">
        <f aca="false">K91/D91*100</f>
        <v>56.3797971745444</v>
      </c>
      <c r="M91" s="4" t="n">
        <v>59.3632558773614</v>
      </c>
      <c r="N91" s="4" t="n">
        <v>52.9217032967033</v>
      </c>
      <c r="O91" s="4" t="n">
        <v>0</v>
      </c>
    </row>
    <row r="92" customFormat="false" ht="15" hidden="false" customHeight="false" outlineLevel="0" collapsed="false">
      <c r="A92" s="1" t="str">
        <f aca="false">A91</f>
        <v>Bihar</v>
      </c>
      <c r="B92" s="4" t="n">
        <v>32</v>
      </c>
      <c r="C92" s="4" t="s">
        <v>108</v>
      </c>
      <c r="D92" s="4" t="n">
        <v>1824515</v>
      </c>
      <c r="E92" s="4" t="n">
        <v>517499</v>
      </c>
      <c r="F92" s="4" t="n">
        <v>375555</v>
      </c>
      <c r="G92" s="4" t="n">
        <v>0</v>
      </c>
      <c r="H92" s="4" t="n">
        <f aca="false">E92+F92+G92</f>
        <v>893054</v>
      </c>
      <c r="I92" s="4" t="n">
        <v>0</v>
      </c>
      <c r="J92" s="4" t="n">
        <v>297</v>
      </c>
      <c r="K92" s="4" t="n">
        <f aca="false">H92+J92</f>
        <v>893351</v>
      </c>
      <c r="L92" s="4" t="n">
        <f aca="false">K92/D92*100</f>
        <v>48.9637520108084</v>
      </c>
      <c r="M92" s="4" t="n">
        <v>51.0833138377314</v>
      </c>
      <c r="N92" s="4" t="n">
        <v>46.5168848284268</v>
      </c>
      <c r="O92" s="4" t="n">
        <v>0</v>
      </c>
    </row>
    <row r="93" customFormat="false" ht="15" hidden="false" customHeight="false" outlineLevel="0" collapsed="false">
      <c r="A93" s="1" t="str">
        <f aca="false">A92</f>
        <v>Bihar</v>
      </c>
      <c r="B93" s="4" t="n">
        <v>33</v>
      </c>
      <c r="C93" s="4" t="s">
        <v>109</v>
      </c>
      <c r="D93" s="4" t="n">
        <v>1640671</v>
      </c>
      <c r="E93" s="4" t="n">
        <v>494435</v>
      </c>
      <c r="F93" s="4" t="n">
        <v>394512</v>
      </c>
      <c r="G93" s="4" t="n">
        <v>0</v>
      </c>
      <c r="H93" s="4" t="n">
        <f aca="false">E93+F93+G93</f>
        <v>888947</v>
      </c>
      <c r="I93" s="4" t="n">
        <v>0</v>
      </c>
      <c r="J93" s="4" t="n">
        <v>205</v>
      </c>
      <c r="K93" s="4" t="n">
        <f aca="false">H93+J93</f>
        <v>889152</v>
      </c>
      <c r="L93" s="4" t="n">
        <f aca="false">K93/D93*100</f>
        <v>54.1944119204886</v>
      </c>
      <c r="M93" s="4" t="n">
        <v>56.6622736649095</v>
      </c>
      <c r="N93" s="4" t="n">
        <v>51.8942468196832</v>
      </c>
      <c r="O93" s="4" t="n">
        <v>0</v>
      </c>
    </row>
    <row r="94" customFormat="false" ht="15" hidden="false" customHeight="false" outlineLevel="0" collapsed="false">
      <c r="A94" s="1" t="str">
        <f aca="false">A93</f>
        <v>Bihar</v>
      </c>
      <c r="B94" s="4" t="n">
        <v>34</v>
      </c>
      <c r="C94" s="4" t="s">
        <v>110</v>
      </c>
      <c r="D94" s="4" t="n">
        <v>1607747</v>
      </c>
      <c r="E94" s="4" t="n">
        <v>448672</v>
      </c>
      <c r="F94" s="4" t="n">
        <v>397016</v>
      </c>
      <c r="G94" s="4" t="n">
        <v>0</v>
      </c>
      <c r="H94" s="4" t="n">
        <f aca="false">E94+F94+G94</f>
        <v>845688</v>
      </c>
      <c r="I94" s="4" t="n">
        <v>0</v>
      </c>
      <c r="J94" s="4" t="n">
        <v>1920</v>
      </c>
      <c r="K94" s="4" t="n">
        <f aca="false">H94+J94</f>
        <v>847608</v>
      </c>
      <c r="L94" s="4" t="n">
        <f aca="false">K94/D94*100</f>
        <v>52.7202352111371</v>
      </c>
      <c r="M94" s="4" t="n">
        <v>52.2863142781894</v>
      </c>
      <c r="N94" s="4" t="n">
        <v>53.1003609876537</v>
      </c>
      <c r="O94" s="4" t="n">
        <v>0</v>
      </c>
    </row>
    <row r="95" customFormat="false" ht="15" hidden="false" customHeight="false" outlineLevel="0" collapsed="false">
      <c r="A95" s="1" t="str">
        <f aca="false">A94</f>
        <v>Bihar</v>
      </c>
      <c r="B95" s="4" t="n">
        <v>35</v>
      </c>
      <c r="C95" s="4" t="s">
        <v>111</v>
      </c>
      <c r="D95" s="4" t="n">
        <v>1580558</v>
      </c>
      <c r="E95" s="4" t="n">
        <v>457406</v>
      </c>
      <c r="F95" s="4" t="n">
        <v>332394</v>
      </c>
      <c r="G95" s="4" t="n">
        <v>0</v>
      </c>
      <c r="H95" s="4" t="n">
        <f aca="false">E95+F95+G95</f>
        <v>789800</v>
      </c>
      <c r="I95" s="4" t="n">
        <v>0</v>
      </c>
      <c r="J95" s="4" t="n">
        <v>561</v>
      </c>
      <c r="K95" s="4" t="n">
        <f aca="false">H95+J95</f>
        <v>790361</v>
      </c>
      <c r="L95" s="4" t="n">
        <f aca="false">K95/D95*100</f>
        <v>50.0051880411855</v>
      </c>
      <c r="M95" s="4" t="n">
        <v>53.9726104984436</v>
      </c>
      <c r="N95" s="4" t="n">
        <v>45.5818163118379</v>
      </c>
      <c r="O95" s="4" t="n">
        <v>0</v>
      </c>
    </row>
    <row r="96" customFormat="false" ht="15" hidden="false" customHeight="false" outlineLevel="0" collapsed="false">
      <c r="A96" s="1" t="str">
        <f aca="false">A95</f>
        <v>Bihar</v>
      </c>
      <c r="B96" s="4" t="n">
        <v>36</v>
      </c>
      <c r="C96" s="4" t="s">
        <v>112</v>
      </c>
      <c r="D96" s="4" t="n">
        <v>1423246</v>
      </c>
      <c r="E96" s="4" t="n">
        <v>445501</v>
      </c>
      <c r="F96" s="4" t="n">
        <v>365502</v>
      </c>
      <c r="G96" s="4" t="n">
        <v>0</v>
      </c>
      <c r="H96" s="4" t="n">
        <f aca="false">E96+F96+G96</f>
        <v>811003</v>
      </c>
      <c r="I96" s="4" t="n">
        <v>0</v>
      </c>
      <c r="J96" s="4" t="n">
        <v>849</v>
      </c>
      <c r="K96" s="4" t="n">
        <f aca="false">H96+J96</f>
        <v>811852</v>
      </c>
      <c r="L96" s="4" t="n">
        <f aca="false">K96/D96*100</f>
        <v>57.0422822196584</v>
      </c>
      <c r="M96" s="4" t="n">
        <v>59.4584025678498</v>
      </c>
      <c r="N96" s="4" t="n">
        <v>54.512588535864</v>
      </c>
      <c r="O96" s="4" t="n">
        <v>0</v>
      </c>
    </row>
    <row r="97" customFormat="false" ht="15" hidden="false" customHeight="false" outlineLevel="0" collapsed="false">
      <c r="A97" s="1" t="str">
        <f aca="false">A96</f>
        <v>Bihar</v>
      </c>
      <c r="B97" s="4" t="n">
        <v>37</v>
      </c>
      <c r="C97" s="4" t="s">
        <v>113</v>
      </c>
      <c r="D97" s="4" t="n">
        <v>1536153</v>
      </c>
      <c r="E97" s="4" t="n">
        <v>429944</v>
      </c>
      <c r="F97" s="4" t="n">
        <v>355719</v>
      </c>
      <c r="G97" s="4" t="n">
        <v>0</v>
      </c>
      <c r="H97" s="4" t="n">
        <f aca="false">E97+F97+G97</f>
        <v>785663</v>
      </c>
      <c r="I97" s="4" t="n">
        <v>0</v>
      </c>
      <c r="J97" s="4" t="n">
        <v>679</v>
      </c>
      <c r="K97" s="4" t="n">
        <f aca="false">H97+J97</f>
        <v>786342</v>
      </c>
      <c r="L97" s="4" t="n">
        <f aca="false">K97/D97*100</f>
        <v>51.1890417165478</v>
      </c>
      <c r="M97" s="4" t="n">
        <v>52.1519736634619</v>
      </c>
      <c r="N97" s="4" t="n">
        <v>50.1020438344819</v>
      </c>
      <c r="O97" s="4" t="n">
        <v>0</v>
      </c>
    </row>
    <row r="98" customFormat="false" ht="15" hidden="false" customHeight="false" outlineLevel="0" collapsed="false">
      <c r="A98" s="1" t="str">
        <f aca="false">A97</f>
        <v>Bihar</v>
      </c>
      <c r="B98" s="4" t="n">
        <v>38</v>
      </c>
      <c r="C98" s="4" t="s">
        <v>114</v>
      </c>
      <c r="D98" s="4" t="n">
        <v>1501521</v>
      </c>
      <c r="E98" s="4" t="n">
        <v>442912</v>
      </c>
      <c r="F98" s="4" t="n">
        <v>364010</v>
      </c>
      <c r="G98" s="4" t="n">
        <v>0</v>
      </c>
      <c r="H98" s="4" t="n">
        <f aca="false">E98+F98+G98</f>
        <v>806922</v>
      </c>
      <c r="I98" s="4" t="n">
        <v>0</v>
      </c>
      <c r="J98" s="4" t="n">
        <v>2665</v>
      </c>
      <c r="K98" s="4" t="n">
        <f aca="false">H98+J98</f>
        <v>809587</v>
      </c>
      <c r="L98" s="4" t="n">
        <f aca="false">K98/D98*100</f>
        <v>53.9177940235268</v>
      </c>
      <c r="M98" s="4" t="n">
        <v>55.4913526543417</v>
      </c>
      <c r="N98" s="4" t="n">
        <v>51.8751496357438</v>
      </c>
      <c r="O98" s="4" t="n">
        <v>0</v>
      </c>
    </row>
    <row r="99" customFormat="false" ht="15" hidden="false" customHeight="false" outlineLevel="0" collapsed="false">
      <c r="A99" s="1" t="str">
        <f aca="false">A98</f>
        <v>Bihar</v>
      </c>
      <c r="B99" s="4" t="n">
        <v>39</v>
      </c>
      <c r="C99" s="4" t="s">
        <v>115</v>
      </c>
      <c r="D99" s="4" t="n">
        <v>1694895</v>
      </c>
      <c r="E99" s="4" t="n">
        <v>478247</v>
      </c>
      <c r="F99" s="4" t="n">
        <v>406136</v>
      </c>
      <c r="G99" s="4" t="n">
        <v>0</v>
      </c>
      <c r="H99" s="4" t="n">
        <f aca="false">E99+F99+G99</f>
        <v>884383</v>
      </c>
      <c r="I99" s="4" t="n">
        <v>0</v>
      </c>
      <c r="J99" s="4" t="n">
        <v>91</v>
      </c>
      <c r="K99" s="4" t="n">
        <f aca="false">H99+J99</f>
        <v>884474</v>
      </c>
      <c r="L99" s="4" t="n">
        <f aca="false">K99/D99*100</f>
        <v>52.1845896058458</v>
      </c>
      <c r="M99" s="4" t="n">
        <v>53.3185946769146</v>
      </c>
      <c r="N99" s="4" t="n">
        <v>50.9817606668089</v>
      </c>
      <c r="O99" s="4" t="n">
        <v>0</v>
      </c>
    </row>
    <row r="100" customFormat="false" ht="15" hidden="false" customHeight="false" outlineLevel="0" collapsed="false">
      <c r="A100" s="1" t="str">
        <f aca="false">A99</f>
        <v>Bihar</v>
      </c>
      <c r="B100" s="4" t="n">
        <v>40</v>
      </c>
      <c r="C100" s="4" t="s">
        <v>116</v>
      </c>
      <c r="D100" s="4" t="n">
        <v>1550936</v>
      </c>
      <c r="E100" s="4" t="n">
        <v>415589</v>
      </c>
      <c r="F100" s="4" t="n">
        <v>360008</v>
      </c>
      <c r="G100" s="4" t="n">
        <v>0</v>
      </c>
      <c r="H100" s="4" t="n">
        <f aca="false">E100+F100+G100</f>
        <v>775597</v>
      </c>
      <c r="I100" s="4" t="n">
        <v>0</v>
      </c>
      <c r="J100" s="4" t="n">
        <v>53</v>
      </c>
      <c r="K100" s="4" t="n">
        <f aca="false">H100+J100</f>
        <v>775650</v>
      </c>
      <c r="L100" s="4" t="n">
        <f aca="false">K100/D100*100</f>
        <v>50.0117348491492</v>
      </c>
      <c r="M100" s="4" t="n">
        <v>50.1980920354923</v>
      </c>
      <c r="N100" s="4" t="n">
        <v>49.8429980450903</v>
      </c>
      <c r="O100" s="4" t="n">
        <v>0</v>
      </c>
    </row>
    <row r="101" customFormat="false" ht="15" hidden="false" customHeight="false" outlineLevel="0" collapsed="false">
      <c r="A101" s="4" t="s">
        <v>117</v>
      </c>
      <c r="B101" s="4" t="n">
        <v>1</v>
      </c>
      <c r="C101" s="4" t="s">
        <v>118</v>
      </c>
      <c r="D101" s="4" t="n">
        <v>515434</v>
      </c>
      <c r="E101" s="4" t="n">
        <v>199489</v>
      </c>
      <c r="F101" s="4" t="n">
        <v>205701</v>
      </c>
      <c r="G101" s="4" t="n">
        <v>0</v>
      </c>
      <c r="H101" s="4" t="n">
        <f aca="false">E101+F101+G101</f>
        <v>405190</v>
      </c>
      <c r="I101" s="4" t="n">
        <v>0</v>
      </c>
      <c r="J101" s="4" t="n">
        <v>1755</v>
      </c>
      <c r="K101" s="4" t="n">
        <f aca="false">H101+J101</f>
        <v>406945</v>
      </c>
      <c r="L101" s="4" t="n">
        <f aca="false">K101/D101*100</f>
        <v>78.9519123689939</v>
      </c>
      <c r="M101" s="4" t="n">
        <v>78.0082744165676</v>
      </c>
      <c r="N101" s="4" t="n">
        <v>79.2624046794262</v>
      </c>
      <c r="O101" s="4" t="n">
        <v>0</v>
      </c>
    </row>
    <row r="102" customFormat="false" ht="15" hidden="false" customHeight="false" outlineLevel="0" collapsed="false">
      <c r="A102" s="1" t="str">
        <f aca="false">A101</f>
        <v>Goa</v>
      </c>
      <c r="B102" s="4" t="n">
        <v>2</v>
      </c>
      <c r="C102" s="4" t="s">
        <v>119</v>
      </c>
      <c r="D102" s="4" t="n">
        <v>545316</v>
      </c>
      <c r="E102" s="4" t="n">
        <v>195128</v>
      </c>
      <c r="F102" s="4" t="n">
        <v>214329</v>
      </c>
      <c r="G102" s="4" t="n">
        <v>0</v>
      </c>
      <c r="H102" s="4" t="n">
        <f aca="false">E102+F102+G102</f>
        <v>409457</v>
      </c>
      <c r="I102" s="4" t="n">
        <v>0</v>
      </c>
      <c r="J102" s="4" t="n">
        <v>1038</v>
      </c>
      <c r="K102" s="4" t="n">
        <f aca="false">H102+J102</f>
        <v>410495</v>
      </c>
      <c r="L102" s="4" t="n">
        <f aca="false">K102/D102*100</f>
        <v>75.2765369070411</v>
      </c>
      <c r="M102" s="4" t="n">
        <v>71.7353342328068</v>
      </c>
      <c r="N102" s="4" t="n">
        <v>78.5966005977374</v>
      </c>
      <c r="O102" s="4" t="n">
        <v>0</v>
      </c>
    </row>
    <row r="103" customFormat="false" ht="15" hidden="false" customHeight="false" outlineLevel="0" collapsed="false">
      <c r="A103" s="4" t="s">
        <v>120</v>
      </c>
      <c r="B103" s="4" t="n">
        <v>1</v>
      </c>
      <c r="C103" s="4" t="s">
        <v>121</v>
      </c>
      <c r="D103" s="4" t="n">
        <v>1533778</v>
      </c>
      <c r="E103" s="4" t="n">
        <v>519100</v>
      </c>
      <c r="F103" s="4" t="n">
        <v>423463</v>
      </c>
      <c r="G103" s="4" t="n">
        <v>0</v>
      </c>
      <c r="H103" s="4" t="n">
        <f aca="false">E103+F103+G103</f>
        <v>942563</v>
      </c>
      <c r="I103" s="4" t="n">
        <v>4</v>
      </c>
      <c r="J103" s="4" t="n">
        <v>4958</v>
      </c>
      <c r="K103" s="4" t="n">
        <f aca="false">H103+J103</f>
        <v>947521</v>
      </c>
      <c r="L103" s="4" t="n">
        <f aca="false">K103/D103*100</f>
        <v>61.7769325156574</v>
      </c>
      <c r="M103" s="4" t="n">
        <v>64.4078227401428</v>
      </c>
      <c r="N103" s="4" t="n">
        <v>58.2222979949706</v>
      </c>
      <c r="O103" s="4" t="n">
        <v>0</v>
      </c>
    </row>
    <row r="104" customFormat="false" ht="15" hidden="false" customHeight="false" outlineLevel="0" collapsed="false">
      <c r="A104" s="1" t="str">
        <f aca="false">A103</f>
        <v>Gujarat</v>
      </c>
      <c r="B104" s="4" t="n">
        <v>2</v>
      </c>
      <c r="C104" s="4" t="s">
        <v>122</v>
      </c>
      <c r="D104" s="4" t="n">
        <v>1515711</v>
      </c>
      <c r="E104" s="4" t="n">
        <v>511698</v>
      </c>
      <c r="F104" s="4" t="n">
        <v>371518</v>
      </c>
      <c r="G104" s="4" t="n">
        <v>0</v>
      </c>
      <c r="H104" s="4" t="n">
        <f aca="false">E104+F104+G104</f>
        <v>883216</v>
      </c>
      <c r="I104" s="4" t="n">
        <v>0</v>
      </c>
      <c r="J104" s="4" t="n">
        <v>4150</v>
      </c>
      <c r="K104" s="4" t="n">
        <f aca="false">H104+J104</f>
        <v>887366</v>
      </c>
      <c r="L104" s="4" t="n">
        <f aca="false">K104/D104*100</f>
        <v>58.5445378439557</v>
      </c>
      <c r="M104" s="4" t="n">
        <v>64.2966730708095</v>
      </c>
      <c r="N104" s="4" t="n">
        <v>51.6324945138789</v>
      </c>
      <c r="O104" s="4" t="n">
        <v>0</v>
      </c>
    </row>
    <row r="105" customFormat="false" ht="15" hidden="false" customHeight="false" outlineLevel="0" collapsed="false">
      <c r="A105" s="1" t="str">
        <f aca="false">A104</f>
        <v>Gujarat</v>
      </c>
      <c r="B105" s="4" t="n">
        <v>3</v>
      </c>
      <c r="C105" s="4" t="s">
        <v>123</v>
      </c>
      <c r="D105" s="4" t="n">
        <v>1628641</v>
      </c>
      <c r="E105" s="4" t="n">
        <v>525799</v>
      </c>
      <c r="F105" s="4" t="n">
        <v>423880</v>
      </c>
      <c r="G105" s="4" t="n">
        <v>0</v>
      </c>
      <c r="H105" s="4" t="n">
        <f aca="false">E105+F105+G105</f>
        <v>949679</v>
      </c>
      <c r="I105" s="4" t="n">
        <v>0</v>
      </c>
      <c r="J105" s="4" t="n">
        <v>6937</v>
      </c>
      <c r="K105" s="4" t="n">
        <f aca="false">H105+J105</f>
        <v>956616</v>
      </c>
      <c r="L105" s="4" t="n">
        <f aca="false">K105/D105*100</f>
        <v>58.7370697409681</v>
      </c>
      <c r="M105" s="4" t="n">
        <v>62.1948507580973</v>
      </c>
      <c r="N105" s="4" t="n">
        <v>54.1901898216331</v>
      </c>
      <c r="O105" s="4" t="n">
        <v>0</v>
      </c>
    </row>
    <row r="106" customFormat="false" ht="15" hidden="false" customHeight="false" outlineLevel="0" collapsed="false">
      <c r="A106" s="1" t="str">
        <f aca="false">A105</f>
        <v>Gujarat</v>
      </c>
      <c r="B106" s="4" t="n">
        <v>4</v>
      </c>
      <c r="C106" s="4" t="s">
        <v>124</v>
      </c>
      <c r="D106" s="4" t="n">
        <v>1498219</v>
      </c>
      <c r="E106" s="4" t="n">
        <v>541116</v>
      </c>
      <c r="F106" s="4" t="n">
        <v>456612</v>
      </c>
      <c r="G106" s="4" t="n">
        <v>7</v>
      </c>
      <c r="H106" s="4" t="n">
        <f aca="false">E106+F106+G106</f>
        <v>997735</v>
      </c>
      <c r="I106" s="4" t="n">
        <v>0</v>
      </c>
      <c r="J106" s="4" t="n">
        <v>6560</v>
      </c>
      <c r="K106" s="4" t="n">
        <f aca="false">H106+J106</f>
        <v>1004295</v>
      </c>
      <c r="L106" s="4" t="n">
        <f aca="false">K106/D106*100</f>
        <v>67.0325900285606</v>
      </c>
      <c r="M106" s="4" t="n">
        <v>69.6554147727931</v>
      </c>
      <c r="N106" s="4" t="n">
        <v>63.4145460757205</v>
      </c>
      <c r="O106" s="4" t="n">
        <v>30.4347826086957</v>
      </c>
    </row>
    <row r="107" customFormat="false" ht="15" hidden="false" customHeight="false" outlineLevel="0" collapsed="false">
      <c r="A107" s="4" t="str">
        <f aca="false">A106</f>
        <v>Gujarat</v>
      </c>
      <c r="B107" s="4" t="n">
        <v>5</v>
      </c>
      <c r="C107" s="4" t="s">
        <v>125</v>
      </c>
      <c r="D107" s="4" t="n">
        <v>1615840</v>
      </c>
      <c r="E107" s="4" t="n">
        <v>583583</v>
      </c>
      <c r="F107" s="4" t="n">
        <v>502387</v>
      </c>
      <c r="G107" s="4" t="n">
        <v>0</v>
      </c>
      <c r="H107" s="4" t="n">
        <f aca="false">E107+F107+G107</f>
        <v>1085970</v>
      </c>
      <c r="I107" s="4" t="n">
        <v>0</v>
      </c>
      <c r="J107" s="4" t="n">
        <v>9893</v>
      </c>
      <c r="K107" s="4" t="n">
        <f aca="false">H107+J107</f>
        <v>1095863</v>
      </c>
      <c r="L107" s="4" t="n">
        <f aca="false">K107/D107*100</f>
        <v>67.8200193088425</v>
      </c>
      <c r="M107" s="4" t="n">
        <v>70.2429084011088</v>
      </c>
      <c r="N107" s="4" t="n">
        <v>64.2967299198702</v>
      </c>
      <c r="O107" s="4" t="n">
        <v>0</v>
      </c>
    </row>
    <row r="108" customFormat="false" ht="15" hidden="false" customHeight="false" outlineLevel="0" collapsed="false">
      <c r="A108" s="1" t="str">
        <f aca="false">A107</f>
        <v>Gujarat</v>
      </c>
      <c r="B108" s="4" t="n">
        <v>6</v>
      </c>
      <c r="C108" s="4" t="s">
        <v>126</v>
      </c>
      <c r="D108" s="4" t="n">
        <v>1733972</v>
      </c>
      <c r="E108" s="4" t="n">
        <v>617164</v>
      </c>
      <c r="F108" s="4" t="n">
        <v>511490</v>
      </c>
      <c r="G108" s="4" t="n">
        <v>2</v>
      </c>
      <c r="H108" s="4" t="n">
        <f aca="false">E108+F108+G108</f>
        <v>1128656</v>
      </c>
      <c r="I108" s="4" t="n">
        <v>0</v>
      </c>
      <c r="J108" s="4" t="n">
        <v>8358</v>
      </c>
      <c r="K108" s="4" t="n">
        <f aca="false">H108+J108</f>
        <v>1137014</v>
      </c>
      <c r="L108" s="4" t="n">
        <f aca="false">K108/D108*100</f>
        <v>65.5728004835141</v>
      </c>
      <c r="M108" s="4" t="n">
        <v>68.5721777602967</v>
      </c>
      <c r="N108" s="4" t="n">
        <v>61.4005603585911</v>
      </c>
      <c r="O108" s="4" t="n">
        <v>11.1111111111111</v>
      </c>
    </row>
    <row r="109" customFormat="false" ht="15" hidden="false" customHeight="false" outlineLevel="0" collapsed="false">
      <c r="A109" s="1" t="str">
        <f aca="false">A108</f>
        <v>Gujarat</v>
      </c>
      <c r="B109" s="4" t="n">
        <v>7</v>
      </c>
      <c r="C109" s="4" t="s">
        <v>127</v>
      </c>
      <c r="D109" s="4" t="n">
        <v>1601832</v>
      </c>
      <c r="E109" s="4" t="n">
        <v>557279</v>
      </c>
      <c r="F109" s="4" t="n">
        <v>422980</v>
      </c>
      <c r="G109" s="4" t="n">
        <v>6</v>
      </c>
      <c r="H109" s="4" t="n">
        <f aca="false">E109+F109+G109</f>
        <v>980265</v>
      </c>
      <c r="I109" s="4" t="n">
        <v>0</v>
      </c>
      <c r="J109" s="4" t="n">
        <v>6261</v>
      </c>
      <c r="K109" s="4" t="n">
        <f aca="false">H109+J109</f>
        <v>986526</v>
      </c>
      <c r="L109" s="4" t="n">
        <f aca="false">K109/D109*100</f>
        <v>61.5873574756903</v>
      </c>
      <c r="M109" s="4" t="n">
        <v>65.5134470447302</v>
      </c>
      <c r="N109" s="4" t="n">
        <v>56.5012957174534</v>
      </c>
      <c r="O109" s="4" t="n">
        <v>60</v>
      </c>
    </row>
    <row r="110" customFormat="false" ht="15" hidden="false" customHeight="false" outlineLevel="0" collapsed="false">
      <c r="A110" s="1" t="str">
        <f aca="false">A109</f>
        <v>Gujarat</v>
      </c>
      <c r="B110" s="4" t="n">
        <v>8</v>
      </c>
      <c r="C110" s="4" t="s">
        <v>128</v>
      </c>
      <c r="D110" s="4" t="n">
        <v>1534400</v>
      </c>
      <c r="E110" s="4" t="n">
        <v>531702</v>
      </c>
      <c r="F110" s="4" t="n">
        <v>428771</v>
      </c>
      <c r="G110" s="4" t="n">
        <v>2</v>
      </c>
      <c r="H110" s="4" t="n">
        <f aca="false">E110+F110+G110</f>
        <v>960475</v>
      </c>
      <c r="I110" s="4" t="n">
        <v>0</v>
      </c>
      <c r="J110" s="4" t="n">
        <v>5085</v>
      </c>
      <c r="K110" s="4" t="n">
        <f aca="false">H110+J110</f>
        <v>965560</v>
      </c>
      <c r="L110" s="4" t="n">
        <f aca="false">K110/D110*100</f>
        <v>62.9275286757039</v>
      </c>
      <c r="M110" s="4" t="n">
        <v>66.4654086163447</v>
      </c>
      <c r="N110" s="4" t="n">
        <v>58.4765341581701</v>
      </c>
      <c r="O110" s="4" t="n">
        <v>40</v>
      </c>
    </row>
    <row r="111" customFormat="false" ht="15" hidden="false" customHeight="false" outlineLevel="0" collapsed="false">
      <c r="A111" s="4" t="str">
        <f aca="false">A110</f>
        <v>Gujarat</v>
      </c>
      <c r="B111" s="4" t="n">
        <v>9</v>
      </c>
      <c r="C111" s="4" t="s">
        <v>129</v>
      </c>
      <c r="D111" s="4" t="n">
        <v>1656657</v>
      </c>
      <c r="E111" s="4" t="n">
        <v>539246</v>
      </c>
      <c r="F111" s="4" t="n">
        <v>399328</v>
      </c>
      <c r="G111" s="4" t="n">
        <v>1</v>
      </c>
      <c r="H111" s="4" t="n">
        <f aca="false">E111+F111+G111</f>
        <v>938575</v>
      </c>
      <c r="I111" s="4" t="n">
        <v>0</v>
      </c>
      <c r="J111" s="4" t="n">
        <v>6864</v>
      </c>
      <c r="K111" s="4" t="n">
        <f aca="false">H111+J111</f>
        <v>945439</v>
      </c>
      <c r="L111" s="4" t="n">
        <f aca="false">K111/D111*100</f>
        <v>57.0690855137787</v>
      </c>
      <c r="M111" s="4" t="n">
        <v>61.5211729097192</v>
      </c>
      <c r="N111" s="4" t="n">
        <v>51.2955950282857</v>
      </c>
      <c r="O111" s="4" t="n">
        <v>50</v>
      </c>
    </row>
    <row r="112" customFormat="false" ht="15" hidden="false" customHeight="false" outlineLevel="0" collapsed="false">
      <c r="A112" s="1" t="str">
        <f aca="false">A111</f>
        <v>Gujarat</v>
      </c>
      <c r="B112" s="4" t="n">
        <v>10</v>
      </c>
      <c r="C112" s="4" t="s">
        <v>130</v>
      </c>
      <c r="D112" s="4" t="n">
        <v>1655717</v>
      </c>
      <c r="E112" s="4" t="n">
        <v>590854</v>
      </c>
      <c r="F112" s="4" t="n">
        <v>461740</v>
      </c>
      <c r="G112" s="4" t="n">
        <v>1</v>
      </c>
      <c r="H112" s="4" t="n">
        <f aca="false">E112+F112+G112</f>
        <v>1052595</v>
      </c>
      <c r="I112" s="4" t="n">
        <v>0</v>
      </c>
      <c r="J112" s="4" t="n">
        <v>5188</v>
      </c>
      <c r="K112" s="4" t="n">
        <f aca="false">H112+J112</f>
        <v>1057783</v>
      </c>
      <c r="L112" s="4" t="n">
        <f aca="false">K112/D112*100</f>
        <v>63.8867028604526</v>
      </c>
      <c r="M112" s="4" t="n">
        <v>68.3574764652187</v>
      </c>
      <c r="N112" s="4" t="n">
        <v>58.3851340073743</v>
      </c>
      <c r="O112" s="4" t="n">
        <v>12.5</v>
      </c>
    </row>
    <row r="113" customFormat="false" ht="15" hidden="false" customHeight="false" outlineLevel="0" collapsed="false">
      <c r="A113" s="1" t="str">
        <f aca="false">A112</f>
        <v>Gujarat</v>
      </c>
      <c r="B113" s="4" t="n">
        <v>11</v>
      </c>
      <c r="C113" s="4" t="s">
        <v>131</v>
      </c>
      <c r="D113" s="4" t="n">
        <v>1539223</v>
      </c>
      <c r="E113" s="4" t="n">
        <v>468592</v>
      </c>
      <c r="F113" s="4" t="n">
        <v>335821</v>
      </c>
      <c r="G113" s="4" t="n">
        <v>2</v>
      </c>
      <c r="H113" s="4" t="n">
        <f aca="false">E113+F113+G113</f>
        <v>804415</v>
      </c>
      <c r="I113" s="4" t="n">
        <v>0</v>
      </c>
      <c r="J113" s="4" t="n">
        <v>5570</v>
      </c>
      <c r="K113" s="4" t="n">
        <f aca="false">H113+J113</f>
        <v>809985</v>
      </c>
      <c r="L113" s="4" t="n">
        <f aca="false">K113/D113*100</f>
        <v>52.622979256417</v>
      </c>
      <c r="M113" s="4" t="n">
        <v>58.1318347320692</v>
      </c>
      <c r="N113" s="4" t="n">
        <v>45.9159508984361</v>
      </c>
      <c r="O113" s="4" t="n">
        <v>28.5714285714286</v>
      </c>
    </row>
    <row r="114" customFormat="false" ht="15" hidden="false" customHeight="false" outlineLevel="0" collapsed="false">
      <c r="A114" s="1" t="str">
        <f aca="false">A113</f>
        <v>Gujarat</v>
      </c>
      <c r="B114" s="4" t="n">
        <v>12</v>
      </c>
      <c r="C114" s="4" t="s">
        <v>132</v>
      </c>
      <c r="D114" s="4" t="n">
        <v>1470952</v>
      </c>
      <c r="E114" s="4" t="n">
        <v>484080</v>
      </c>
      <c r="F114" s="4" t="n">
        <v>364974</v>
      </c>
      <c r="G114" s="4" t="n">
        <v>1</v>
      </c>
      <c r="H114" s="4" t="n">
        <f aca="false">E114+F114+G114</f>
        <v>849055</v>
      </c>
      <c r="I114" s="4" t="n">
        <v>0</v>
      </c>
      <c r="J114" s="4" t="n">
        <v>3934</v>
      </c>
      <c r="K114" s="4" t="n">
        <f aca="false">H114+J114</f>
        <v>852989</v>
      </c>
      <c r="L114" s="4" t="n">
        <f aca="false">K114/D114*100</f>
        <v>57.9889078637508</v>
      </c>
      <c r="M114" s="4" t="n">
        <v>62.9084638186664</v>
      </c>
      <c r="N114" s="4" t="n">
        <v>52.1845434099095</v>
      </c>
      <c r="O114" s="4" t="n">
        <v>8.33333333333333</v>
      </c>
    </row>
    <row r="115" customFormat="false" ht="15" hidden="false" customHeight="false" outlineLevel="0" collapsed="false">
      <c r="A115" s="1" t="str">
        <f aca="false">A114</f>
        <v>Gujarat</v>
      </c>
      <c r="B115" s="4" t="n">
        <v>13</v>
      </c>
      <c r="C115" s="4" t="s">
        <v>133</v>
      </c>
      <c r="D115" s="4" t="n">
        <v>1485543</v>
      </c>
      <c r="E115" s="4" t="n">
        <v>513928</v>
      </c>
      <c r="F115" s="4" t="n">
        <v>423553</v>
      </c>
      <c r="G115" s="4" t="n">
        <v>0</v>
      </c>
      <c r="H115" s="4" t="n">
        <f aca="false">E115+F115+G115</f>
        <v>937481</v>
      </c>
      <c r="I115" s="4" t="n">
        <v>0</v>
      </c>
      <c r="J115" s="4" t="n">
        <v>4776</v>
      </c>
      <c r="K115" s="4" t="n">
        <f aca="false">H115+J115</f>
        <v>942257</v>
      </c>
      <c r="L115" s="4" t="n">
        <f aca="false">K115/D115*100</f>
        <v>63.4284567999715</v>
      </c>
      <c r="M115" s="4" t="n">
        <v>66.6315743072068</v>
      </c>
      <c r="N115" s="4" t="n">
        <v>59.3784478299087</v>
      </c>
      <c r="O115" s="4" t="n">
        <v>0</v>
      </c>
    </row>
    <row r="116" customFormat="false" ht="15" hidden="false" customHeight="false" outlineLevel="0" collapsed="false">
      <c r="A116" s="1" t="str">
        <f aca="false">A115</f>
        <v>Gujarat</v>
      </c>
      <c r="B116" s="4" t="n">
        <v>14</v>
      </c>
      <c r="C116" s="4" t="s">
        <v>134</v>
      </c>
      <c r="D116" s="4" t="n">
        <v>1486286</v>
      </c>
      <c r="E116" s="4" t="n">
        <v>455668</v>
      </c>
      <c r="F116" s="4" t="n">
        <v>349837</v>
      </c>
      <c r="G116" s="4" t="n">
        <v>0</v>
      </c>
      <c r="H116" s="4" t="n">
        <f aca="false">E116+F116+G116</f>
        <v>805505</v>
      </c>
      <c r="I116" s="4" t="n">
        <v>0</v>
      </c>
      <c r="J116" s="4" t="n">
        <v>4110</v>
      </c>
      <c r="K116" s="4" t="n">
        <f aca="false">H116+J116</f>
        <v>809615</v>
      </c>
      <c r="L116" s="4" t="n">
        <f aca="false">K116/D116*100</f>
        <v>54.4723559261138</v>
      </c>
      <c r="M116" s="4" t="n">
        <v>58.6106612781031</v>
      </c>
      <c r="N116" s="4" t="n">
        <v>49.3709329385582</v>
      </c>
      <c r="O116" s="4" t="n">
        <v>0</v>
      </c>
    </row>
    <row r="117" customFormat="false" ht="15" hidden="false" customHeight="false" outlineLevel="0" collapsed="false">
      <c r="A117" s="1" t="str">
        <f aca="false">A116</f>
        <v>Gujarat</v>
      </c>
      <c r="B117" s="4" t="n">
        <v>15</v>
      </c>
      <c r="C117" s="4" t="s">
        <v>135</v>
      </c>
      <c r="D117" s="4" t="n">
        <v>1594531</v>
      </c>
      <c r="E117" s="4" t="n">
        <v>516968</v>
      </c>
      <c r="F117" s="4" t="n">
        <v>396013</v>
      </c>
      <c r="G117" s="4" t="n">
        <v>11</v>
      </c>
      <c r="H117" s="4" t="n">
        <f aca="false">E117+F117+G117</f>
        <v>912992</v>
      </c>
      <c r="I117" s="4" t="n">
        <v>0</v>
      </c>
      <c r="J117" s="4" t="n">
        <v>5152</v>
      </c>
      <c r="K117" s="4" t="n">
        <f aca="false">H117+J117</f>
        <v>918144</v>
      </c>
      <c r="L117" s="4" t="n">
        <f aca="false">K117/D117*100</f>
        <v>57.5808184350132</v>
      </c>
      <c r="M117" s="4" t="n">
        <v>61.995937036051</v>
      </c>
      <c r="N117" s="4" t="n">
        <v>52.1187689845597</v>
      </c>
      <c r="O117" s="4" t="n">
        <v>45.8333333333333</v>
      </c>
    </row>
    <row r="118" customFormat="false" ht="15" hidden="false" customHeight="false" outlineLevel="0" collapsed="false">
      <c r="A118" s="1" t="str">
        <f aca="false">A117</f>
        <v>Gujarat</v>
      </c>
      <c r="B118" s="4" t="n">
        <v>16</v>
      </c>
      <c r="C118" s="4" t="s">
        <v>136</v>
      </c>
      <c r="D118" s="4" t="n">
        <v>1496859</v>
      </c>
      <c r="E118" s="4" t="n">
        <v>539236</v>
      </c>
      <c r="F118" s="4" t="n">
        <v>427943</v>
      </c>
      <c r="G118" s="4" t="n">
        <v>0</v>
      </c>
      <c r="H118" s="4" t="n">
        <f aca="false">E118+F118+G118</f>
        <v>967179</v>
      </c>
      <c r="I118" s="4" t="n">
        <v>0</v>
      </c>
      <c r="J118" s="4" t="n">
        <v>4083</v>
      </c>
      <c r="K118" s="4" t="n">
        <f aca="false">H118+J118</f>
        <v>971262</v>
      </c>
      <c r="L118" s="4" t="n">
        <f aca="false">K118/D118*100</f>
        <v>64.8866726926184</v>
      </c>
      <c r="M118" s="4" t="n">
        <v>69.0585383158372</v>
      </c>
      <c r="N118" s="4" t="n">
        <v>59.7978897476277</v>
      </c>
      <c r="O118" s="4" t="n">
        <v>0</v>
      </c>
    </row>
    <row r="119" customFormat="false" ht="15" hidden="false" customHeight="false" outlineLevel="0" collapsed="false">
      <c r="A119" s="1" t="str">
        <f aca="false">A118</f>
        <v>Gujarat</v>
      </c>
      <c r="B119" s="4" t="n">
        <v>17</v>
      </c>
      <c r="C119" s="4" t="s">
        <v>137</v>
      </c>
      <c r="D119" s="4" t="n">
        <v>1599471</v>
      </c>
      <c r="E119" s="4" t="n">
        <v>540239</v>
      </c>
      <c r="F119" s="4" t="n">
        <v>411083</v>
      </c>
      <c r="G119" s="4" t="n">
        <v>1</v>
      </c>
      <c r="H119" s="4" t="n">
        <f aca="false">E119+F119+G119</f>
        <v>951323</v>
      </c>
      <c r="I119" s="4" t="n">
        <v>0</v>
      </c>
      <c r="J119" s="4" t="n">
        <v>6141</v>
      </c>
      <c r="K119" s="4" t="n">
        <f aca="false">H119+J119</f>
        <v>957464</v>
      </c>
      <c r="L119" s="4" t="n">
        <f aca="false">K119/D119*100</f>
        <v>59.8612916395483</v>
      </c>
      <c r="M119" s="4" t="n">
        <v>64.8831299226311</v>
      </c>
      <c r="N119" s="4" t="n">
        <v>53.6631055135214</v>
      </c>
      <c r="O119" s="4" t="n">
        <v>5.88235294117647</v>
      </c>
    </row>
    <row r="120" customFormat="false" ht="15" hidden="false" customHeight="false" outlineLevel="0" collapsed="false">
      <c r="A120" s="1" t="str">
        <f aca="false">A119</f>
        <v>Gujarat</v>
      </c>
      <c r="B120" s="4" t="n">
        <v>18</v>
      </c>
      <c r="C120" s="4" t="s">
        <v>138</v>
      </c>
      <c r="D120" s="4" t="n">
        <v>1576667</v>
      </c>
      <c r="E120" s="4" t="n">
        <v>512435</v>
      </c>
      <c r="F120" s="4" t="n">
        <v>414555</v>
      </c>
      <c r="G120" s="4" t="n">
        <v>0</v>
      </c>
      <c r="H120" s="4" t="n">
        <f aca="false">E120+F120+G120</f>
        <v>926990</v>
      </c>
      <c r="I120" s="4" t="n">
        <v>0</v>
      </c>
      <c r="J120" s="4" t="n">
        <v>8026</v>
      </c>
      <c r="K120" s="4" t="n">
        <f aca="false">H120+J120</f>
        <v>935016</v>
      </c>
      <c r="L120" s="4" t="n">
        <f aca="false">K120/D120*100</f>
        <v>59.3033278428482</v>
      </c>
      <c r="M120" s="4" t="n">
        <v>62.5576060775862</v>
      </c>
      <c r="N120" s="4" t="n">
        <v>54.831763549717</v>
      </c>
      <c r="O120" s="4" t="n">
        <v>0</v>
      </c>
    </row>
    <row r="121" customFormat="false" ht="15" hidden="false" customHeight="false" outlineLevel="0" collapsed="false">
      <c r="A121" s="1" t="str">
        <f aca="false">A120</f>
        <v>Gujarat</v>
      </c>
      <c r="B121" s="4" t="n">
        <v>19</v>
      </c>
      <c r="C121" s="4" t="s">
        <v>139</v>
      </c>
      <c r="D121" s="4" t="n">
        <v>1411765</v>
      </c>
      <c r="E121" s="4" t="n">
        <v>466791</v>
      </c>
      <c r="F121" s="4" t="n">
        <v>428519</v>
      </c>
      <c r="G121" s="4" t="n">
        <v>1</v>
      </c>
      <c r="H121" s="4" t="n">
        <f aca="false">E121+F121+G121</f>
        <v>895311</v>
      </c>
      <c r="I121" s="4" t="n">
        <v>0</v>
      </c>
      <c r="J121" s="4" t="n">
        <v>6124</v>
      </c>
      <c r="K121" s="4" t="n">
        <f aca="false">H121+J121</f>
        <v>901435</v>
      </c>
      <c r="L121" s="4" t="n">
        <f aca="false">K121/D121*100</f>
        <v>63.8516325309099</v>
      </c>
      <c r="M121" s="4" t="n">
        <v>65.5787705007853</v>
      </c>
      <c r="N121" s="4" t="n">
        <v>61.2682027122667</v>
      </c>
      <c r="O121" s="4" t="n">
        <v>25</v>
      </c>
    </row>
    <row r="122" customFormat="false" ht="15" hidden="false" customHeight="false" outlineLevel="0" collapsed="false">
      <c r="A122" s="1" t="str">
        <f aca="false">A121</f>
        <v>Gujarat</v>
      </c>
      <c r="B122" s="4" t="n">
        <v>20</v>
      </c>
      <c r="C122" s="4" t="s">
        <v>140</v>
      </c>
      <c r="D122" s="4" t="n">
        <v>1638321</v>
      </c>
      <c r="E122" s="4" t="n">
        <v>621926</v>
      </c>
      <c r="F122" s="4" t="n">
        <v>533715</v>
      </c>
      <c r="G122" s="4" t="n">
        <v>15</v>
      </c>
      <c r="H122" s="4" t="n">
        <f aca="false">E122+F122+G122</f>
        <v>1155656</v>
      </c>
      <c r="I122" s="4" t="n">
        <v>0</v>
      </c>
      <c r="J122" s="4" t="n">
        <v>6512</v>
      </c>
      <c r="K122" s="4" t="n">
        <f aca="false">H122+J122</f>
        <v>1162168</v>
      </c>
      <c r="L122" s="4" t="n">
        <f aca="false">K122/D122*100</f>
        <v>70.9365258700829</v>
      </c>
      <c r="M122" s="4" t="n">
        <v>73.2946074913173</v>
      </c>
      <c r="N122" s="4" t="n">
        <v>67.642772046336</v>
      </c>
      <c r="O122" s="4" t="n">
        <v>57.6923076923077</v>
      </c>
    </row>
    <row r="123" customFormat="false" ht="15" hidden="false" customHeight="false" outlineLevel="0" collapsed="false">
      <c r="A123" s="1" t="str">
        <f aca="false">A122</f>
        <v>Gujarat</v>
      </c>
      <c r="B123" s="4" t="n">
        <v>21</v>
      </c>
      <c r="C123" s="4" t="s">
        <v>141</v>
      </c>
      <c r="D123" s="4" t="n">
        <v>1536305</v>
      </c>
      <c r="E123" s="4" t="n">
        <v>590131</v>
      </c>
      <c r="F123" s="4" t="n">
        <v>504411</v>
      </c>
      <c r="G123" s="4" t="n">
        <v>0</v>
      </c>
      <c r="H123" s="4" t="n">
        <f aca="false">E123+F123+G123</f>
        <v>1094542</v>
      </c>
      <c r="I123" s="4" t="n">
        <v>0</v>
      </c>
      <c r="J123" s="4" t="n">
        <v>7081</v>
      </c>
      <c r="K123" s="4" t="n">
        <f aca="false">H123+J123</f>
        <v>1101623</v>
      </c>
      <c r="L123" s="4" t="n">
        <f aca="false">K123/D123*100</f>
        <v>71.7060088979727</v>
      </c>
      <c r="M123" s="4" t="n">
        <v>73.9641366102617</v>
      </c>
      <c r="N123" s="4" t="n">
        <v>68.3463365590728</v>
      </c>
      <c r="O123" s="4" t="n">
        <v>0</v>
      </c>
    </row>
    <row r="124" customFormat="false" ht="15" hidden="false" customHeight="false" outlineLevel="0" collapsed="false">
      <c r="A124" s="1" t="str">
        <f aca="false">A123</f>
        <v>Gujarat</v>
      </c>
      <c r="B124" s="4" t="n">
        <v>22</v>
      </c>
      <c r="C124" s="4" t="s">
        <v>142</v>
      </c>
      <c r="D124" s="4" t="n">
        <v>1417548</v>
      </c>
      <c r="E124" s="4" t="n">
        <v>562549</v>
      </c>
      <c r="F124" s="4" t="n">
        <v>493760</v>
      </c>
      <c r="G124" s="4" t="n">
        <v>10</v>
      </c>
      <c r="H124" s="4" t="n">
        <f aca="false">E124+F124+G124</f>
        <v>1056319</v>
      </c>
      <c r="I124" s="4" t="n">
        <v>0</v>
      </c>
      <c r="J124" s="4" t="n">
        <v>4741</v>
      </c>
      <c r="K124" s="4" t="n">
        <f aca="false">H124+J124</f>
        <v>1061060</v>
      </c>
      <c r="L124" s="4" t="n">
        <f aca="false">K124/D124*100</f>
        <v>74.8517863239904</v>
      </c>
      <c r="M124" s="4" t="n">
        <v>76.5693651217109</v>
      </c>
      <c r="N124" s="4" t="n">
        <v>72.3373084473615</v>
      </c>
      <c r="O124" s="4" t="n">
        <v>35.7142857142857</v>
      </c>
    </row>
    <row r="125" customFormat="false" ht="15" hidden="false" customHeight="false" outlineLevel="0" collapsed="false">
      <c r="A125" s="1" t="str">
        <f aca="false">A124</f>
        <v>Gujarat</v>
      </c>
      <c r="B125" s="4" t="n">
        <v>23</v>
      </c>
      <c r="C125" s="4" t="s">
        <v>143</v>
      </c>
      <c r="D125" s="4" t="n">
        <v>1614106</v>
      </c>
      <c r="E125" s="4" t="n">
        <v>636398</v>
      </c>
      <c r="F125" s="4" t="n">
        <v>567973</v>
      </c>
      <c r="G125" s="4" t="n">
        <v>0</v>
      </c>
      <c r="H125" s="4" t="n">
        <f aca="false">E125+F125+G125</f>
        <v>1204371</v>
      </c>
      <c r="I125" s="4" t="n">
        <v>0</v>
      </c>
      <c r="J125" s="4" t="n">
        <v>5238</v>
      </c>
      <c r="K125" s="4" t="n">
        <f aca="false">H125+J125</f>
        <v>1209609</v>
      </c>
      <c r="L125" s="4" t="n">
        <f aca="false">K125/D125*100</f>
        <v>74.9398738372821</v>
      </c>
      <c r="M125" s="4" t="n">
        <v>76.7181779496026</v>
      </c>
      <c r="N125" s="4" t="n">
        <v>72.407669458574</v>
      </c>
      <c r="O125" s="4" t="n">
        <v>0</v>
      </c>
    </row>
    <row r="126" customFormat="false" ht="15" hidden="false" customHeight="false" outlineLevel="0" collapsed="false">
      <c r="A126" s="1" t="str">
        <f aca="false">A125</f>
        <v>Gujarat</v>
      </c>
      <c r="B126" s="4" t="n">
        <v>24</v>
      </c>
      <c r="C126" s="4" t="s">
        <v>144</v>
      </c>
      <c r="D126" s="4" t="n">
        <v>1484068</v>
      </c>
      <c r="E126" s="4" t="n">
        <v>538576</v>
      </c>
      <c r="F126" s="4" t="n">
        <v>407928</v>
      </c>
      <c r="G126" s="4" t="n">
        <v>3</v>
      </c>
      <c r="H126" s="4" t="n">
        <f aca="false">E126+F126+G126</f>
        <v>946507</v>
      </c>
      <c r="I126" s="4" t="n">
        <v>0</v>
      </c>
      <c r="J126" s="4" t="n">
        <v>1876</v>
      </c>
      <c r="K126" s="4" t="n">
        <f aca="false">H126+J126</f>
        <v>948383</v>
      </c>
      <c r="L126" s="4" t="n">
        <f aca="false">K126/D126*100</f>
        <v>63.9042820140317</v>
      </c>
      <c r="M126" s="4" t="n">
        <v>67.0044825085128</v>
      </c>
      <c r="N126" s="4" t="n">
        <v>59.9715966727531</v>
      </c>
      <c r="O126" s="4" t="n">
        <v>11.1111111111111</v>
      </c>
    </row>
    <row r="127" customFormat="false" ht="15" hidden="false" customHeight="false" outlineLevel="0" collapsed="false">
      <c r="A127" s="1" t="str">
        <f aca="false">A126</f>
        <v>Gujarat</v>
      </c>
      <c r="B127" s="4" t="n">
        <v>25</v>
      </c>
      <c r="C127" s="4" t="s">
        <v>145</v>
      </c>
      <c r="D127" s="4" t="n">
        <v>1764620</v>
      </c>
      <c r="E127" s="4" t="n">
        <v>644265</v>
      </c>
      <c r="F127" s="4" t="n">
        <v>512736</v>
      </c>
      <c r="G127" s="4" t="n">
        <v>13</v>
      </c>
      <c r="H127" s="4" t="n">
        <f aca="false">E127+F127+G127</f>
        <v>1157014</v>
      </c>
      <c r="I127" s="4" t="n">
        <v>0</v>
      </c>
      <c r="J127" s="4" t="n">
        <v>4462</v>
      </c>
      <c r="K127" s="4" t="n">
        <f aca="false">H127+J127</f>
        <v>1161476</v>
      </c>
      <c r="L127" s="4" t="n">
        <f aca="false">K127/D127*100</f>
        <v>65.820176581927</v>
      </c>
      <c r="M127" s="4" t="n">
        <v>66.2879996049049</v>
      </c>
      <c r="N127" s="4" t="n">
        <v>64.7033659288199</v>
      </c>
      <c r="O127" s="4" t="n">
        <v>25</v>
      </c>
    </row>
    <row r="128" customFormat="false" ht="15" hidden="false" customHeight="false" outlineLevel="0" collapsed="false">
      <c r="A128" s="1" t="str">
        <f aca="false">A127</f>
        <v>Gujarat</v>
      </c>
      <c r="B128" s="4" t="n">
        <v>26</v>
      </c>
      <c r="C128" s="4" t="s">
        <v>146</v>
      </c>
      <c r="D128" s="4" t="n">
        <v>1512061</v>
      </c>
      <c r="E128" s="4" t="n">
        <v>580599</v>
      </c>
      <c r="F128" s="4" t="n">
        <v>538185</v>
      </c>
      <c r="G128" s="4" t="n">
        <v>0</v>
      </c>
      <c r="H128" s="4" t="n">
        <f aca="false">E128+F128+G128</f>
        <v>1118784</v>
      </c>
      <c r="I128" s="4" t="n">
        <v>0</v>
      </c>
      <c r="J128" s="4" t="n">
        <v>4398</v>
      </c>
      <c r="K128" s="4" t="n">
        <f aca="false">H128+J128</f>
        <v>1123182</v>
      </c>
      <c r="L128" s="4" t="n">
        <f aca="false">K128/D128*100</f>
        <v>74.2815270018868</v>
      </c>
      <c r="M128" s="4" t="n">
        <v>74.916676666757</v>
      </c>
      <c r="N128" s="4" t="n">
        <v>73.0271138695679</v>
      </c>
      <c r="O128" s="4" t="n">
        <v>0</v>
      </c>
    </row>
    <row r="129" customFormat="false" ht="15" hidden="false" customHeight="false" outlineLevel="0" collapsed="false">
      <c r="A129" s="4" t="s">
        <v>147</v>
      </c>
      <c r="B129" s="4" t="n">
        <v>1</v>
      </c>
      <c r="C129" s="4" t="s">
        <v>148</v>
      </c>
      <c r="D129" s="4" t="n">
        <v>1692424</v>
      </c>
      <c r="E129" s="4" t="n">
        <v>667712</v>
      </c>
      <c r="F129" s="4" t="n">
        <v>551882</v>
      </c>
      <c r="G129" s="4" t="n">
        <v>0</v>
      </c>
      <c r="H129" s="4" t="n">
        <f aca="false">E129+F129+G129</f>
        <v>1219594</v>
      </c>
      <c r="I129" s="4" t="n">
        <v>0</v>
      </c>
      <c r="J129" s="4" t="n">
        <v>531</v>
      </c>
      <c r="K129" s="4" t="n">
        <f aca="false">H129+J129</f>
        <v>1220125</v>
      </c>
      <c r="L129" s="4" t="n">
        <f aca="false">K129/D129*100</f>
        <v>72.093340675859</v>
      </c>
      <c r="M129" s="4" t="n">
        <v>73.7811467530028</v>
      </c>
      <c r="N129" s="4" t="n">
        <v>70.7186525728769</v>
      </c>
      <c r="O129" s="4" t="n">
        <v>0</v>
      </c>
    </row>
    <row r="130" customFormat="false" ht="15" hidden="false" customHeight="false" outlineLevel="0" collapsed="false">
      <c r="A130" s="1" t="str">
        <f aca="false">A129</f>
        <v>Haryana</v>
      </c>
      <c r="B130" s="4" t="n">
        <v>2</v>
      </c>
      <c r="C130" s="4" t="s">
        <v>149</v>
      </c>
      <c r="D130" s="4" t="n">
        <v>1498459</v>
      </c>
      <c r="E130" s="4" t="n">
        <v>618481</v>
      </c>
      <c r="F130" s="4" t="n">
        <v>517170</v>
      </c>
      <c r="G130" s="4" t="n">
        <v>0</v>
      </c>
      <c r="H130" s="4" t="n">
        <f aca="false">E130+F130+G130</f>
        <v>1135651</v>
      </c>
      <c r="I130" s="4" t="n">
        <v>0</v>
      </c>
      <c r="J130" s="4" t="n">
        <v>522</v>
      </c>
      <c r="K130" s="4" t="n">
        <f aca="false">H130+J130</f>
        <v>1136173</v>
      </c>
      <c r="L130" s="4" t="n">
        <f aca="false">K130/D130*100</f>
        <v>75.8227619174098</v>
      </c>
      <c r="M130" s="4" t="n">
        <v>76.9153569305539</v>
      </c>
      <c r="N130" s="4" t="n">
        <v>75.0416801489313</v>
      </c>
      <c r="O130" s="4" t="n">
        <v>0</v>
      </c>
    </row>
    <row r="131" customFormat="false" ht="15" hidden="false" customHeight="false" outlineLevel="0" collapsed="false">
      <c r="A131" s="1" t="str">
        <f aca="false">A130</f>
        <v>Haryana</v>
      </c>
      <c r="B131" s="4" t="n">
        <v>3</v>
      </c>
      <c r="C131" s="4" t="s">
        <v>150</v>
      </c>
      <c r="D131" s="4" t="n">
        <v>1660556</v>
      </c>
      <c r="E131" s="4" t="n">
        <v>692765</v>
      </c>
      <c r="F131" s="4" t="n">
        <v>586098</v>
      </c>
      <c r="G131" s="4" t="n">
        <v>0</v>
      </c>
      <c r="H131" s="4" t="n">
        <f aca="false">E131+F131+G131</f>
        <v>1278863</v>
      </c>
      <c r="I131" s="4" t="n">
        <v>0</v>
      </c>
      <c r="J131" s="4" t="n">
        <v>408</v>
      </c>
      <c r="K131" s="4" t="n">
        <f aca="false">H131+J131</f>
        <v>1279271</v>
      </c>
      <c r="L131" s="4" t="n">
        <f aca="false">K131/D131*100</f>
        <v>77.0387147437364</v>
      </c>
      <c r="M131" s="4" t="n">
        <v>78.2946323424704</v>
      </c>
      <c r="N131" s="4" t="n">
        <v>75.7470368604097</v>
      </c>
      <c r="O131" s="4" t="n">
        <v>0</v>
      </c>
    </row>
    <row r="132" customFormat="false" ht="15" hidden="false" customHeight="false" outlineLevel="0" collapsed="false">
      <c r="A132" s="1" t="str">
        <f aca="false">A131</f>
        <v>Haryana</v>
      </c>
      <c r="B132" s="4" t="n">
        <v>4</v>
      </c>
      <c r="C132" s="4" t="s">
        <v>151</v>
      </c>
      <c r="D132" s="4" t="n">
        <v>1517606</v>
      </c>
      <c r="E132" s="4" t="n">
        <v>637448</v>
      </c>
      <c r="F132" s="4" t="n">
        <v>518049</v>
      </c>
      <c r="G132" s="4" t="n">
        <v>0</v>
      </c>
      <c r="H132" s="4" t="n">
        <f aca="false">E132+F132+G132</f>
        <v>1155497</v>
      </c>
      <c r="I132" s="4" t="n">
        <v>0</v>
      </c>
      <c r="J132" s="4" t="n">
        <v>1308</v>
      </c>
      <c r="K132" s="4" t="n">
        <f aca="false">H132+J132</f>
        <v>1156805</v>
      </c>
      <c r="L132" s="4" t="n">
        <f aca="false">K132/D132*100</f>
        <v>76.2256475000758</v>
      </c>
      <c r="M132" s="4" t="n">
        <v>77.6757992425535</v>
      </c>
      <c r="N132" s="4" t="n">
        <v>75.1404398635996</v>
      </c>
      <c r="O132" s="4" t="n">
        <v>0</v>
      </c>
    </row>
    <row r="133" customFormat="false" ht="15" hidden="false" customHeight="false" outlineLevel="0" collapsed="false">
      <c r="A133" s="1" t="str">
        <f aca="false">A132</f>
        <v>Haryana</v>
      </c>
      <c r="B133" s="4" t="n">
        <v>5</v>
      </c>
      <c r="C133" s="4" t="s">
        <v>152</v>
      </c>
      <c r="D133" s="4" t="n">
        <v>1684321</v>
      </c>
      <c r="E133" s="4" t="n">
        <v>666729</v>
      </c>
      <c r="F133" s="4" t="n">
        <v>526629</v>
      </c>
      <c r="G133" s="4" t="n">
        <v>0</v>
      </c>
      <c r="H133" s="4" t="n">
        <f aca="false">E133+F133+G133</f>
        <v>1193358</v>
      </c>
      <c r="I133" s="4" t="n">
        <v>0</v>
      </c>
      <c r="J133" s="4" t="n">
        <v>339</v>
      </c>
      <c r="K133" s="4" t="n">
        <f aca="false">H133+J133</f>
        <v>1193697</v>
      </c>
      <c r="L133" s="4" t="n">
        <f aca="false">K133/D133*100</f>
        <v>70.8711106730843</v>
      </c>
      <c r="M133" s="4" t="n">
        <v>73.295274655691</v>
      </c>
      <c r="N133" s="4" t="n">
        <v>68.4180782152517</v>
      </c>
      <c r="O133" s="4" t="n">
        <v>0</v>
      </c>
    </row>
    <row r="134" customFormat="false" ht="15" hidden="false" customHeight="false" outlineLevel="0" collapsed="false">
      <c r="A134" s="1" t="str">
        <f aca="false">A133</f>
        <v>Haryana</v>
      </c>
      <c r="B134" s="4" t="n">
        <v>6</v>
      </c>
      <c r="C134" s="4" t="s">
        <v>153</v>
      </c>
      <c r="D134" s="4" t="n">
        <v>1417187</v>
      </c>
      <c r="E134" s="4" t="n">
        <v>551189</v>
      </c>
      <c r="F134" s="4" t="n">
        <v>434412</v>
      </c>
      <c r="G134" s="4" t="n">
        <v>0</v>
      </c>
      <c r="H134" s="4" t="n">
        <f aca="false">E134+F134+G134</f>
        <v>985601</v>
      </c>
      <c r="I134" s="4" t="n">
        <v>0</v>
      </c>
      <c r="J134" s="4" t="n">
        <v>920</v>
      </c>
      <c r="K134" s="4" t="n">
        <f aca="false">H134+J134</f>
        <v>986521</v>
      </c>
      <c r="L134" s="4" t="n">
        <f aca="false">K134/D134*100</f>
        <v>69.6112086831166</v>
      </c>
      <c r="M134" s="4" t="n">
        <v>71.3080343454912</v>
      </c>
      <c r="N134" s="4" t="n">
        <v>68.2160366070054</v>
      </c>
      <c r="O134" s="4" t="n">
        <v>0</v>
      </c>
    </row>
    <row r="135" customFormat="false" ht="15" hidden="false" customHeight="false" outlineLevel="0" collapsed="false">
      <c r="A135" s="1" t="str">
        <f aca="false">A134</f>
        <v>Haryana</v>
      </c>
      <c r="B135" s="4" t="n">
        <v>7</v>
      </c>
      <c r="C135" s="4" t="s">
        <v>154</v>
      </c>
      <c r="D135" s="4" t="n">
        <v>1567508</v>
      </c>
      <c r="E135" s="4" t="n">
        <v>578206</v>
      </c>
      <c r="F135" s="4" t="n">
        <v>465772</v>
      </c>
      <c r="G135" s="4" t="n">
        <v>0</v>
      </c>
      <c r="H135" s="4" t="n">
        <f aca="false">E135+F135+G135</f>
        <v>1043978</v>
      </c>
      <c r="I135" s="4" t="n">
        <v>0</v>
      </c>
      <c r="J135" s="4" t="n">
        <v>1745</v>
      </c>
      <c r="K135" s="4" t="n">
        <f aca="false">H135+J135</f>
        <v>1045723</v>
      </c>
      <c r="L135" s="4" t="n">
        <f aca="false">K135/D135*100</f>
        <v>66.7124505903638</v>
      </c>
      <c r="M135" s="4" t="n">
        <v>69.4676922115775</v>
      </c>
      <c r="N135" s="4" t="n">
        <v>65.6534731619305</v>
      </c>
      <c r="O135" s="4" t="n">
        <v>0</v>
      </c>
    </row>
    <row r="136" customFormat="false" ht="15" hidden="false" customHeight="false" outlineLevel="0" collapsed="false">
      <c r="A136" s="1" t="str">
        <f aca="false">A135</f>
        <v>Haryana</v>
      </c>
      <c r="B136" s="4" t="n">
        <v>8</v>
      </c>
      <c r="C136" s="4" t="s">
        <v>155</v>
      </c>
      <c r="D136" s="4" t="n">
        <v>1473912</v>
      </c>
      <c r="E136" s="4" t="n">
        <v>559428</v>
      </c>
      <c r="F136" s="4" t="n">
        <v>470289</v>
      </c>
      <c r="G136" s="4" t="n">
        <v>0</v>
      </c>
      <c r="H136" s="4" t="n">
        <f aca="false">E136+F136+G136</f>
        <v>1029717</v>
      </c>
      <c r="I136" s="4" t="n">
        <v>0</v>
      </c>
      <c r="J136" s="4" t="n">
        <v>1640</v>
      </c>
      <c r="K136" s="4" t="n">
        <f aca="false">H136+J136</f>
        <v>1031357</v>
      </c>
      <c r="L136" s="4" t="n">
        <f aca="false">K136/D136*100</f>
        <v>69.974123285515</v>
      </c>
      <c r="M136" s="4" t="n">
        <v>72.0948604375735</v>
      </c>
      <c r="N136" s="4" t="n">
        <v>69.8108250131371</v>
      </c>
      <c r="O136" s="4" t="n">
        <v>0</v>
      </c>
    </row>
    <row r="137" customFormat="false" ht="15" hidden="false" customHeight="false" outlineLevel="0" collapsed="false">
      <c r="A137" s="1" t="str">
        <f aca="false">A136</f>
        <v>Haryana</v>
      </c>
      <c r="B137" s="4" t="n">
        <v>9</v>
      </c>
      <c r="C137" s="4" t="s">
        <v>156</v>
      </c>
      <c r="D137" s="4" t="n">
        <v>1844906</v>
      </c>
      <c r="E137" s="4" t="n">
        <v>727100</v>
      </c>
      <c r="F137" s="4" t="n">
        <v>593187</v>
      </c>
      <c r="G137" s="4" t="n">
        <v>0</v>
      </c>
      <c r="H137" s="4" t="n">
        <f aca="false">E137+F137+G137</f>
        <v>1320287</v>
      </c>
      <c r="I137" s="4" t="n">
        <v>0</v>
      </c>
      <c r="J137" s="4" t="n">
        <v>360</v>
      </c>
      <c r="K137" s="4" t="n">
        <f aca="false">H137+J137</f>
        <v>1320647</v>
      </c>
      <c r="L137" s="4" t="n">
        <f aca="false">K137/D137*100</f>
        <v>71.5834302669079</v>
      </c>
      <c r="M137" s="4" t="n">
        <v>74.5796369178947</v>
      </c>
      <c r="N137" s="4" t="n">
        <v>69.3080724876442</v>
      </c>
      <c r="O137" s="4" t="n">
        <v>0</v>
      </c>
    </row>
    <row r="138" customFormat="false" ht="15" hidden="false" customHeight="false" outlineLevel="0" collapsed="false">
      <c r="A138" s="1" t="str">
        <f aca="false">A137</f>
        <v>Haryana</v>
      </c>
      <c r="B138" s="4" t="n">
        <v>10</v>
      </c>
      <c r="C138" s="4" t="s">
        <v>157</v>
      </c>
      <c r="D138" s="4" t="n">
        <v>1740351</v>
      </c>
      <c r="E138" s="4" t="n">
        <v>651241</v>
      </c>
      <c r="F138" s="4" t="n">
        <v>479430</v>
      </c>
      <c r="G138" s="4" t="n">
        <v>0</v>
      </c>
      <c r="H138" s="4" t="n">
        <f aca="false">E138+F138+G138</f>
        <v>1130671</v>
      </c>
      <c r="I138" s="4" t="n">
        <v>0</v>
      </c>
      <c r="J138" s="4" t="n">
        <v>261</v>
      </c>
      <c r="K138" s="4" t="n">
        <f aca="false">H138+J138</f>
        <v>1130932</v>
      </c>
      <c r="L138" s="4" t="n">
        <f aca="false">K138/D138*100</f>
        <v>64.982983317733</v>
      </c>
      <c r="M138" s="4" t="n">
        <v>67.3644391529083</v>
      </c>
      <c r="N138" s="4" t="n">
        <v>62.2976168819356</v>
      </c>
      <c r="O138" s="4" t="n">
        <v>0</v>
      </c>
    </row>
    <row r="139" customFormat="false" ht="15" hidden="false" customHeight="false" outlineLevel="0" collapsed="false">
      <c r="A139" s="4" t="s">
        <v>158</v>
      </c>
      <c r="B139" s="4" t="n">
        <v>1</v>
      </c>
      <c r="C139" s="4" t="s">
        <v>159</v>
      </c>
      <c r="D139" s="4" t="n">
        <v>1258599</v>
      </c>
      <c r="E139" s="4" t="n">
        <v>389575</v>
      </c>
      <c r="F139" s="4" t="n">
        <v>408414</v>
      </c>
      <c r="G139" s="4" t="n">
        <v>0</v>
      </c>
      <c r="H139" s="4" t="n">
        <f aca="false">E139+F139+G139</f>
        <v>797989</v>
      </c>
      <c r="I139" s="4" t="n">
        <v>0</v>
      </c>
      <c r="J139" s="4" t="n">
        <v>1937</v>
      </c>
      <c r="K139" s="4" t="n">
        <f aca="false">H139+J139</f>
        <v>799926</v>
      </c>
      <c r="L139" s="4" t="n">
        <f aca="false">K139/D139*100</f>
        <v>63.5568596510882</v>
      </c>
      <c r="M139" s="4" t="n">
        <v>62.0523177932423</v>
      </c>
      <c r="N139" s="4" t="n">
        <v>67.3898229015241</v>
      </c>
      <c r="O139" s="4" t="n">
        <v>0</v>
      </c>
    </row>
    <row r="140" customFormat="false" ht="15" hidden="false" customHeight="false" outlineLevel="0" collapsed="false">
      <c r="A140" s="1" t="str">
        <f aca="false">A139</f>
        <v>Himachal Pradesh</v>
      </c>
      <c r="B140" s="4" t="n">
        <v>2</v>
      </c>
      <c r="C140" s="4" t="s">
        <v>160</v>
      </c>
      <c r="D140" s="4" t="n">
        <v>1150408</v>
      </c>
      <c r="E140" s="4" t="n">
        <v>377093</v>
      </c>
      <c r="F140" s="4" t="n">
        <v>347977</v>
      </c>
      <c r="G140" s="4" t="n">
        <v>0</v>
      </c>
      <c r="H140" s="4" t="n">
        <f aca="false">E140+F140+G140</f>
        <v>725070</v>
      </c>
      <c r="I140" s="4" t="n">
        <v>0</v>
      </c>
      <c r="J140" s="4" t="n">
        <v>1412</v>
      </c>
      <c r="K140" s="4" t="n">
        <f aca="false">H140+J140</f>
        <v>726482</v>
      </c>
      <c r="L140" s="4" t="n">
        <f aca="false">K140/D140*100</f>
        <v>63.1499433244553</v>
      </c>
      <c r="M140" s="4" t="n">
        <v>65.0456414643907</v>
      </c>
      <c r="N140" s="4" t="n">
        <v>62.0553077736544</v>
      </c>
      <c r="O140" s="4" t="n">
        <v>0</v>
      </c>
    </row>
    <row r="141" customFormat="false" ht="15" hidden="false" customHeight="false" outlineLevel="0" collapsed="false">
      <c r="A141" s="1" t="str">
        <f aca="false">A140</f>
        <v>Himachal Pradesh</v>
      </c>
      <c r="B141" s="4" t="n">
        <v>3</v>
      </c>
      <c r="C141" s="4" t="s">
        <v>161</v>
      </c>
      <c r="D141" s="4" t="n">
        <v>1247699</v>
      </c>
      <c r="E141" s="4" t="n">
        <v>394620</v>
      </c>
      <c r="F141" s="4" t="n">
        <v>438467</v>
      </c>
      <c r="G141" s="4" t="n">
        <v>0</v>
      </c>
      <c r="H141" s="4" t="n">
        <f aca="false">E141+F141+G141</f>
        <v>833087</v>
      </c>
      <c r="I141" s="4" t="n">
        <v>0</v>
      </c>
      <c r="J141" s="4" t="n">
        <v>2657</v>
      </c>
      <c r="K141" s="4" t="n">
        <f aca="false">H141+J141</f>
        <v>835744</v>
      </c>
      <c r="L141" s="4" t="n">
        <f aca="false">K141/D141*100</f>
        <v>66.9828219786984</v>
      </c>
      <c r="M141" s="4" t="n">
        <v>64.1650189916229</v>
      </c>
      <c r="N141" s="4" t="n">
        <v>71.900463247653</v>
      </c>
      <c r="O141" s="4" t="n">
        <v>0</v>
      </c>
    </row>
    <row r="142" customFormat="false" ht="15" hidden="false" customHeight="false" outlineLevel="0" collapsed="false">
      <c r="A142" s="1" t="str">
        <f aca="false">A141</f>
        <v>Himachal Pradesh</v>
      </c>
      <c r="B142" s="4" t="n">
        <v>4</v>
      </c>
      <c r="C142" s="4" t="s">
        <v>162</v>
      </c>
      <c r="D142" s="4" t="n">
        <v>1153363</v>
      </c>
      <c r="E142" s="4" t="n">
        <v>403062</v>
      </c>
      <c r="F142" s="4" t="n">
        <v>333715</v>
      </c>
      <c r="G142" s="4" t="n">
        <v>0</v>
      </c>
      <c r="H142" s="4" t="n">
        <f aca="false">E142+F142+G142</f>
        <v>736777</v>
      </c>
      <c r="I142" s="4" t="n">
        <v>0</v>
      </c>
      <c r="J142" s="4" t="n">
        <v>1270</v>
      </c>
      <c r="K142" s="4" t="n">
        <f aca="false">H142+J142</f>
        <v>738047</v>
      </c>
      <c r="L142" s="4" t="n">
        <f aca="false">K142/D142*100</f>
        <v>63.9908684429794</v>
      </c>
      <c r="M142" s="4" t="n">
        <v>67.0857633618279</v>
      </c>
      <c r="N142" s="4" t="n">
        <v>61.3208847303711</v>
      </c>
      <c r="O142" s="4" t="n">
        <v>0</v>
      </c>
    </row>
    <row r="143" customFormat="false" ht="15" hidden="false" customHeight="false" outlineLevel="0" collapsed="false">
      <c r="A143" s="4" t="s">
        <v>163</v>
      </c>
      <c r="B143" s="4" t="n">
        <v>1</v>
      </c>
      <c r="C143" s="4" t="s">
        <v>164</v>
      </c>
      <c r="D143" s="4" t="n">
        <v>1190766</v>
      </c>
      <c r="E143" s="4" t="n">
        <v>256288</v>
      </c>
      <c r="F143" s="4" t="n">
        <v>209691</v>
      </c>
      <c r="G143" s="4" t="n">
        <v>0</v>
      </c>
      <c r="H143" s="4" t="n">
        <f aca="false">E143+F143+G143</f>
        <v>465979</v>
      </c>
      <c r="I143" s="4" t="n">
        <v>0</v>
      </c>
      <c r="J143" s="4" t="n">
        <v>60</v>
      </c>
      <c r="K143" s="4" t="n">
        <f aca="false">H143+J143</f>
        <v>466039</v>
      </c>
      <c r="L143" s="4" t="n">
        <f aca="false">K143/D143*100</f>
        <v>39.1377483065523</v>
      </c>
      <c r="M143" s="4" t="n">
        <v>41.1620347171363</v>
      </c>
      <c r="N143" s="4" t="n">
        <v>37.017794725135</v>
      </c>
      <c r="O143" s="4" t="n">
        <v>0</v>
      </c>
    </row>
    <row r="144" customFormat="false" ht="15" hidden="false" customHeight="false" outlineLevel="0" collapsed="false">
      <c r="A144" s="1" t="str">
        <f aca="false">A143</f>
        <v>Jammu &amp; Kashmir</v>
      </c>
      <c r="B144" s="4" t="n">
        <v>2</v>
      </c>
      <c r="C144" s="4" t="s">
        <v>165</v>
      </c>
      <c r="D144" s="4" t="n">
        <v>1207230</v>
      </c>
      <c r="E144" s="4" t="n">
        <v>178779</v>
      </c>
      <c r="F144" s="4" t="n">
        <v>133429</v>
      </c>
      <c r="G144" s="4" t="n">
        <v>0</v>
      </c>
      <c r="H144" s="4" t="n">
        <f aca="false">E144+F144+G144</f>
        <v>312208</v>
      </c>
      <c r="I144" s="4" t="n">
        <v>0</v>
      </c>
      <c r="J144" s="4" t="n">
        <v>37</v>
      </c>
      <c r="K144" s="4" t="n">
        <f aca="false">H144+J144</f>
        <v>312245</v>
      </c>
      <c r="L144" s="4" t="n">
        <f aca="false">K144/D144*100</f>
        <v>25.8645825567622</v>
      </c>
      <c r="M144" s="4" t="n">
        <v>28.3190480640833</v>
      </c>
      <c r="N144" s="4" t="n">
        <v>23.1790829054068</v>
      </c>
      <c r="O144" s="4" t="n">
        <v>0</v>
      </c>
    </row>
    <row r="145" customFormat="false" ht="15" hidden="false" customHeight="false" outlineLevel="0" collapsed="false">
      <c r="A145" s="1" t="str">
        <f aca="false">A144</f>
        <v>Jammu &amp; Kashmir</v>
      </c>
      <c r="B145" s="4" t="n">
        <v>3</v>
      </c>
      <c r="C145" s="4" t="s">
        <v>166</v>
      </c>
      <c r="D145" s="4" t="n">
        <v>1301143</v>
      </c>
      <c r="E145" s="4" t="n">
        <v>211595</v>
      </c>
      <c r="F145" s="4" t="n">
        <v>163643</v>
      </c>
      <c r="G145" s="4" t="n">
        <v>0</v>
      </c>
      <c r="H145" s="4" t="n">
        <f aca="false">E145+F145+G145</f>
        <v>375238</v>
      </c>
      <c r="I145" s="4" t="n">
        <v>0</v>
      </c>
      <c r="J145" s="4" t="n">
        <v>43</v>
      </c>
      <c r="K145" s="4" t="n">
        <f aca="false">H145+J145</f>
        <v>375281</v>
      </c>
      <c r="L145" s="4" t="n">
        <f aca="false">K145/D145*100</f>
        <v>28.8424100963537</v>
      </c>
      <c r="M145" s="4" t="n">
        <v>30.9489228320981</v>
      </c>
      <c r="N145" s="4" t="n">
        <v>26.5684843545279</v>
      </c>
      <c r="O145" s="4" t="n">
        <v>0</v>
      </c>
    </row>
    <row r="146" customFormat="false" ht="15" hidden="false" customHeight="false" outlineLevel="0" collapsed="false">
      <c r="A146" s="1" t="str">
        <f aca="false">A145</f>
        <v>Jammu &amp; Kashmir</v>
      </c>
      <c r="B146" s="4" t="n">
        <v>4</v>
      </c>
      <c r="C146" s="4" t="s">
        <v>167</v>
      </c>
      <c r="D146" s="4" t="n">
        <v>166763</v>
      </c>
      <c r="E146" s="4" t="n">
        <v>57162</v>
      </c>
      <c r="F146" s="4" t="n">
        <v>60002</v>
      </c>
      <c r="G146" s="4" t="n">
        <v>0</v>
      </c>
      <c r="H146" s="4" t="n">
        <f aca="false">E146+F146+G146</f>
        <v>117164</v>
      </c>
      <c r="I146" s="4" t="n">
        <v>0</v>
      </c>
      <c r="J146" s="4" t="n">
        <v>1904</v>
      </c>
      <c r="K146" s="4" t="n">
        <f aca="false">H146+J146</f>
        <v>119068</v>
      </c>
      <c r="L146" s="4" t="n">
        <f aca="false">K146/D146*100</f>
        <v>71.3995310710409</v>
      </c>
      <c r="M146" s="4" t="n">
        <v>69.7863508729093</v>
      </c>
      <c r="N146" s="4" t="n">
        <v>75.2564906559639</v>
      </c>
      <c r="O146" s="4" t="n">
        <v>0</v>
      </c>
    </row>
    <row r="147" customFormat="false" ht="15" hidden="false" customHeight="false" outlineLevel="0" collapsed="false">
      <c r="A147" s="1" t="str">
        <f aca="false">A146</f>
        <v>Jammu &amp; Kashmir</v>
      </c>
      <c r="B147" s="4" t="n">
        <v>5</v>
      </c>
      <c r="C147" s="4" t="s">
        <v>168</v>
      </c>
      <c r="D147" s="4" t="n">
        <v>1469072</v>
      </c>
      <c r="E147" s="4" t="n">
        <v>556791</v>
      </c>
      <c r="F147" s="4" t="n">
        <v>484338</v>
      </c>
      <c r="G147" s="4" t="n">
        <v>1</v>
      </c>
      <c r="H147" s="4" t="n">
        <f aca="false">E147+F147+G147</f>
        <v>1041130</v>
      </c>
      <c r="I147" s="4" t="n">
        <v>0</v>
      </c>
      <c r="J147" s="4" t="n">
        <v>1245</v>
      </c>
      <c r="K147" s="4" t="n">
        <f aca="false">H147+J147</f>
        <v>1042375</v>
      </c>
      <c r="L147" s="4" t="n">
        <f aca="false">K147/D147*100</f>
        <v>70.9546570896457</v>
      </c>
      <c r="M147" s="4" t="n">
        <v>71.6038729473675</v>
      </c>
      <c r="N147" s="4" t="n">
        <v>71.452091170613</v>
      </c>
      <c r="O147" s="4" t="n">
        <v>100</v>
      </c>
    </row>
    <row r="148" customFormat="false" ht="15" hidden="false" customHeight="false" outlineLevel="0" collapsed="false">
      <c r="A148" s="1" t="str">
        <f aca="false">A147</f>
        <v>Jammu &amp; Kashmir</v>
      </c>
      <c r="B148" s="4" t="n">
        <v>6</v>
      </c>
      <c r="C148" s="4" t="s">
        <v>169</v>
      </c>
      <c r="D148" s="4" t="n">
        <v>1848155</v>
      </c>
      <c r="E148" s="4" t="n">
        <v>665098</v>
      </c>
      <c r="F148" s="4" t="n">
        <v>587601</v>
      </c>
      <c r="G148" s="4" t="n">
        <v>0</v>
      </c>
      <c r="H148" s="4" t="n">
        <f aca="false">E148+F148+G148</f>
        <v>1252699</v>
      </c>
      <c r="I148" s="4" t="n">
        <v>0</v>
      </c>
      <c r="J148" s="4" t="n">
        <v>3830</v>
      </c>
      <c r="K148" s="4" t="n">
        <f aca="false">H148+J148</f>
        <v>1256529</v>
      </c>
      <c r="L148" s="4" t="n">
        <f aca="false">K148/D148*100</f>
        <v>67.988291025374</v>
      </c>
      <c r="M148" s="4" t="n">
        <v>70.2232771172366</v>
      </c>
      <c r="N148" s="4" t="n">
        <v>68.0631795736676</v>
      </c>
      <c r="O148" s="4" t="n">
        <v>0</v>
      </c>
    </row>
    <row r="149" customFormat="false" ht="15" hidden="false" customHeight="false" outlineLevel="0" collapsed="false">
      <c r="A149" s="4" t="s">
        <v>170</v>
      </c>
      <c r="B149" s="4" t="n">
        <v>1</v>
      </c>
      <c r="C149" s="4" t="s">
        <v>171</v>
      </c>
      <c r="D149" s="4" t="n">
        <v>1442206</v>
      </c>
      <c r="E149" s="4" t="n">
        <v>564052</v>
      </c>
      <c r="F149" s="4" t="n">
        <v>506614</v>
      </c>
      <c r="G149" s="4" t="n">
        <v>2</v>
      </c>
      <c r="H149" s="4" t="n">
        <f aca="false">E149+F149+G149</f>
        <v>1070668</v>
      </c>
      <c r="I149" s="4" t="n">
        <v>0</v>
      </c>
      <c r="J149" s="4" t="n">
        <v>827</v>
      </c>
      <c r="K149" s="4" t="n">
        <f aca="false">H149+J149</f>
        <v>1071495</v>
      </c>
      <c r="L149" s="4" t="n">
        <f aca="false">K149/D149*100</f>
        <v>74.2955583321661</v>
      </c>
      <c r="M149" s="4" t="n">
        <v>76.1196587886484</v>
      </c>
      <c r="N149" s="4" t="n">
        <v>72.9528828984506</v>
      </c>
      <c r="O149" s="4" t="n">
        <v>3.17460317460317</v>
      </c>
    </row>
    <row r="150" customFormat="false" ht="15" hidden="false" customHeight="false" outlineLevel="0" collapsed="false">
      <c r="A150" s="1" t="str">
        <f aca="false">A149</f>
        <v>Karnataka</v>
      </c>
      <c r="B150" s="4" t="n">
        <v>2</v>
      </c>
      <c r="C150" s="4" t="s">
        <v>172</v>
      </c>
      <c r="D150" s="4" t="n">
        <v>1580895</v>
      </c>
      <c r="E150" s="4" t="n">
        <v>569642</v>
      </c>
      <c r="F150" s="4" t="n">
        <v>508074</v>
      </c>
      <c r="G150" s="4" t="n">
        <v>0</v>
      </c>
      <c r="H150" s="4" t="n">
        <f aca="false">E150+F150+G150</f>
        <v>1077716</v>
      </c>
      <c r="I150" s="4" t="n">
        <v>0</v>
      </c>
      <c r="J150" s="4" t="n">
        <v>1266</v>
      </c>
      <c r="K150" s="4" t="n">
        <f aca="false">H150+J150</f>
        <v>1078982</v>
      </c>
      <c r="L150" s="4" t="n">
        <f aca="false">K150/D150*100</f>
        <v>68.2513386404537</v>
      </c>
      <c r="M150" s="4" t="n">
        <v>70.9286283494372</v>
      </c>
      <c r="N150" s="4" t="n">
        <v>65.8355491284539</v>
      </c>
      <c r="O150" s="4" t="n">
        <v>0</v>
      </c>
    </row>
    <row r="151" customFormat="false" ht="15" hidden="false" customHeight="false" outlineLevel="0" collapsed="false">
      <c r="A151" s="4" t="str">
        <f aca="false">A150</f>
        <v>Karnataka</v>
      </c>
      <c r="B151" s="4" t="n">
        <v>3</v>
      </c>
      <c r="C151" s="4" t="s">
        <v>173</v>
      </c>
      <c r="D151" s="4" t="n">
        <v>1568633</v>
      </c>
      <c r="E151" s="4" t="n">
        <v>561494</v>
      </c>
      <c r="F151" s="4" t="n">
        <v>517311</v>
      </c>
      <c r="G151" s="4" t="n">
        <v>0</v>
      </c>
      <c r="H151" s="4" t="n">
        <f aca="false">E151+F151+G151</f>
        <v>1078805</v>
      </c>
      <c r="I151" s="4" t="n">
        <v>0</v>
      </c>
      <c r="J151" s="4" t="n">
        <v>519</v>
      </c>
      <c r="K151" s="4" t="n">
        <f aca="false">H151+J151</f>
        <v>1079324</v>
      </c>
      <c r="L151" s="4" t="n">
        <f aca="false">K151/D151*100</f>
        <v>68.8066615964346</v>
      </c>
      <c r="M151" s="4" t="n">
        <v>70.9747471300109</v>
      </c>
      <c r="N151" s="4" t="n">
        <v>66.7884144641031</v>
      </c>
      <c r="O151" s="4" t="n">
        <v>0</v>
      </c>
    </row>
    <row r="152" customFormat="false" ht="15" hidden="false" customHeight="false" outlineLevel="0" collapsed="false">
      <c r="A152" s="1" t="str">
        <f aca="false">A151</f>
        <v>Karnataka</v>
      </c>
      <c r="B152" s="4" t="n">
        <v>4</v>
      </c>
      <c r="C152" s="4" t="s">
        <v>174</v>
      </c>
      <c r="D152" s="4" t="n">
        <v>1622635</v>
      </c>
      <c r="E152" s="4" t="n">
        <v>521090</v>
      </c>
      <c r="F152" s="4" t="n">
        <v>445637</v>
      </c>
      <c r="G152" s="4" t="n">
        <v>7</v>
      </c>
      <c r="H152" s="4" t="n">
        <f aca="false">E152+F152+G152</f>
        <v>966734</v>
      </c>
      <c r="I152" s="4" t="n">
        <v>0</v>
      </c>
      <c r="J152" s="4" t="n">
        <v>63</v>
      </c>
      <c r="K152" s="4" t="n">
        <f aca="false">H152+J152</f>
        <v>966797</v>
      </c>
      <c r="L152" s="4" t="n">
        <f aca="false">K152/D152*100</f>
        <v>59.5819146018667</v>
      </c>
      <c r="M152" s="4" t="n">
        <v>61.5252558288358</v>
      </c>
      <c r="N152" s="4" t="n">
        <v>57.5431279376065</v>
      </c>
      <c r="O152" s="4" t="n">
        <v>3.95480225988701</v>
      </c>
    </row>
    <row r="153" customFormat="false" ht="15" hidden="false" customHeight="false" outlineLevel="0" collapsed="false">
      <c r="A153" s="1" t="str">
        <f aca="false">A152</f>
        <v>Karnataka</v>
      </c>
      <c r="B153" s="4" t="n">
        <v>5</v>
      </c>
      <c r="C153" s="4" t="s">
        <v>175</v>
      </c>
      <c r="D153" s="4" t="n">
        <v>1721990</v>
      </c>
      <c r="E153" s="4" t="n">
        <v>522778</v>
      </c>
      <c r="F153" s="4" t="n">
        <v>474347</v>
      </c>
      <c r="G153" s="4" t="n">
        <v>0</v>
      </c>
      <c r="H153" s="4" t="n">
        <f aca="false">E153+F153+G153</f>
        <v>997125</v>
      </c>
      <c r="I153" s="4" t="n">
        <v>0</v>
      </c>
      <c r="J153" s="4" t="n">
        <v>961</v>
      </c>
      <c r="K153" s="4" t="n">
        <f aca="false">H153+J153</f>
        <v>998086</v>
      </c>
      <c r="L153" s="4" t="n">
        <f aca="false">K153/D153*100</f>
        <v>57.9611960580491</v>
      </c>
      <c r="M153" s="4" t="n">
        <v>59.5362852942148</v>
      </c>
      <c r="N153" s="4" t="n">
        <v>56.2450347302095</v>
      </c>
      <c r="O153" s="4" t="n">
        <v>0</v>
      </c>
    </row>
    <row r="154" customFormat="false" ht="15" hidden="false" customHeight="false" outlineLevel="0" collapsed="false">
      <c r="A154" s="1" t="str">
        <f aca="false">A153</f>
        <v>Karnataka</v>
      </c>
      <c r="B154" s="4" t="n">
        <v>6</v>
      </c>
      <c r="C154" s="4" t="s">
        <v>176</v>
      </c>
      <c r="D154" s="4" t="n">
        <v>1661606</v>
      </c>
      <c r="E154" s="4" t="n">
        <v>501122</v>
      </c>
      <c r="F154" s="4" t="n">
        <v>467391</v>
      </c>
      <c r="G154" s="4" t="n">
        <v>0</v>
      </c>
      <c r="H154" s="4" t="n">
        <f aca="false">E154+F154+G154</f>
        <v>968513</v>
      </c>
      <c r="I154" s="4" t="n">
        <v>0</v>
      </c>
      <c r="J154" s="4" t="n">
        <v>534</v>
      </c>
      <c r="K154" s="4" t="n">
        <f aca="false">H154+J154</f>
        <v>969047</v>
      </c>
      <c r="L154" s="4" t="n">
        <f aca="false">K154/D154*100</f>
        <v>58.3199025521092</v>
      </c>
      <c r="M154" s="4" t="n">
        <v>59.9578124196121</v>
      </c>
      <c r="N154" s="4" t="n">
        <v>56.6355371209835</v>
      </c>
      <c r="O154" s="4" t="n">
        <v>0</v>
      </c>
    </row>
    <row r="155" customFormat="false" ht="15" hidden="false" customHeight="false" outlineLevel="0" collapsed="false">
      <c r="A155" s="1" t="str">
        <f aca="false">A154</f>
        <v>Karnataka</v>
      </c>
      <c r="B155" s="4" t="n">
        <v>7</v>
      </c>
      <c r="C155" s="4" t="s">
        <v>177</v>
      </c>
      <c r="D155" s="4" t="n">
        <v>1600962</v>
      </c>
      <c r="E155" s="4" t="n">
        <v>508036</v>
      </c>
      <c r="F155" s="4" t="n">
        <v>454615</v>
      </c>
      <c r="G155" s="4" t="n">
        <v>1</v>
      </c>
      <c r="H155" s="4" t="n">
        <f aca="false">E155+F155+G155</f>
        <v>962652</v>
      </c>
      <c r="I155" s="4" t="n">
        <v>0</v>
      </c>
      <c r="J155" s="4" t="n">
        <v>554</v>
      </c>
      <c r="K155" s="4" t="n">
        <f aca="false">H155+J155</f>
        <v>963206</v>
      </c>
      <c r="L155" s="4" t="n">
        <f aca="false">K155/D155*100</f>
        <v>60.164201273984</v>
      </c>
      <c r="M155" s="4" t="n">
        <v>60.5971256573666</v>
      </c>
      <c r="N155" s="4" t="n">
        <v>59.7058147552287</v>
      </c>
      <c r="O155" s="4" t="n">
        <v>1.42857142857143</v>
      </c>
    </row>
    <row r="156" customFormat="false" ht="15" hidden="false" customHeight="false" outlineLevel="0" collapsed="false">
      <c r="A156" s="1" t="str">
        <f aca="false">A155</f>
        <v>Karnataka</v>
      </c>
      <c r="B156" s="4" t="n">
        <v>8</v>
      </c>
      <c r="C156" s="4" t="s">
        <v>178</v>
      </c>
      <c r="D156" s="4" t="n">
        <v>1535105</v>
      </c>
      <c r="E156" s="4" t="n">
        <v>526117</v>
      </c>
      <c r="F156" s="4" t="n">
        <v>480597</v>
      </c>
      <c r="G156" s="4" t="n">
        <v>2</v>
      </c>
      <c r="H156" s="4" t="n">
        <f aca="false">E156+F156+G156</f>
        <v>1006716</v>
      </c>
      <c r="I156" s="4" t="n">
        <v>0</v>
      </c>
      <c r="J156" s="4" t="n">
        <v>714</v>
      </c>
      <c r="K156" s="4" t="n">
        <f aca="false">H156+J156</f>
        <v>1007430</v>
      </c>
      <c r="L156" s="4" t="n">
        <f aca="false">K156/D156*100</f>
        <v>65.6261298087102</v>
      </c>
      <c r="M156" s="4" t="n">
        <v>68.318099361251</v>
      </c>
      <c r="N156" s="4" t="n">
        <v>62.8533726027684</v>
      </c>
      <c r="O156" s="4" t="n">
        <v>2.10526315789474</v>
      </c>
    </row>
    <row r="157" customFormat="false" ht="15" hidden="false" customHeight="false" outlineLevel="0" collapsed="false">
      <c r="A157" s="4" t="str">
        <f aca="false">A156</f>
        <v>Karnataka</v>
      </c>
      <c r="B157" s="4" t="n">
        <v>9</v>
      </c>
      <c r="C157" s="4" t="s">
        <v>179</v>
      </c>
      <c r="D157" s="4" t="n">
        <v>1487945</v>
      </c>
      <c r="E157" s="4" t="n">
        <v>541905</v>
      </c>
      <c r="F157" s="4" t="n">
        <v>503534</v>
      </c>
      <c r="G157" s="4" t="n">
        <v>9</v>
      </c>
      <c r="H157" s="4" t="n">
        <f aca="false">E157+F157+G157</f>
        <v>1045448</v>
      </c>
      <c r="I157" s="4" t="n">
        <v>0</v>
      </c>
      <c r="J157" s="4" t="n">
        <v>465</v>
      </c>
      <c r="K157" s="4" t="n">
        <f aca="false">H157+J157</f>
        <v>1045913</v>
      </c>
      <c r="L157" s="4" t="n">
        <f aca="false">K157/D157*100</f>
        <v>70.2924503257849</v>
      </c>
      <c r="M157" s="4" t="n">
        <v>72.1974934284766</v>
      </c>
      <c r="N157" s="4" t="n">
        <v>68.3294410119945</v>
      </c>
      <c r="O157" s="4" t="n">
        <v>5.88235294117647</v>
      </c>
    </row>
    <row r="158" customFormat="false" ht="15" hidden="false" customHeight="false" outlineLevel="0" collapsed="false">
      <c r="A158" s="1" t="str">
        <f aca="false">A157</f>
        <v>Karnataka</v>
      </c>
      <c r="B158" s="4" t="n">
        <v>10</v>
      </c>
      <c r="C158" s="4" t="s">
        <v>180</v>
      </c>
      <c r="D158" s="4" t="n">
        <v>1558749</v>
      </c>
      <c r="E158" s="4" t="n">
        <v>594946</v>
      </c>
      <c r="F158" s="4" t="n">
        <v>520512</v>
      </c>
      <c r="G158" s="4" t="n">
        <v>0</v>
      </c>
      <c r="H158" s="4" t="n">
        <f aca="false">E158+F158+G158</f>
        <v>1115458</v>
      </c>
      <c r="I158" s="4" t="n">
        <v>0</v>
      </c>
      <c r="J158" s="4" t="n">
        <v>910</v>
      </c>
      <c r="K158" s="4" t="n">
        <f aca="false">H158+J158</f>
        <v>1116368</v>
      </c>
      <c r="L158" s="4" t="n">
        <f aca="false">K158/D158*100</f>
        <v>71.619484599509</v>
      </c>
      <c r="M158" s="4" t="n">
        <v>73.7836071429014</v>
      </c>
      <c r="N158" s="4" t="n">
        <v>69.2723839132072</v>
      </c>
      <c r="O158" s="4" t="n">
        <v>0</v>
      </c>
    </row>
    <row r="159" customFormat="false" ht="15" hidden="false" customHeight="false" outlineLevel="0" collapsed="false">
      <c r="A159" s="1" t="str">
        <f aca="false">A158</f>
        <v>Karnataka</v>
      </c>
      <c r="B159" s="4" t="n">
        <v>11</v>
      </c>
      <c r="C159" s="4" t="s">
        <v>181</v>
      </c>
      <c r="D159" s="4" t="n">
        <v>1578125</v>
      </c>
      <c r="E159" s="4" t="n">
        <v>562867</v>
      </c>
      <c r="F159" s="4" t="n">
        <v>477563</v>
      </c>
      <c r="G159" s="4" t="n">
        <v>0</v>
      </c>
      <c r="H159" s="4" t="n">
        <f aca="false">E159+F159+G159</f>
        <v>1040430</v>
      </c>
      <c r="I159" s="4" t="n">
        <v>0</v>
      </c>
      <c r="J159" s="4" t="n">
        <v>1040</v>
      </c>
      <c r="K159" s="4" t="n">
        <f aca="false">H159+J159</f>
        <v>1041470</v>
      </c>
      <c r="L159" s="4" t="n">
        <f aca="false">K159/D159*100</f>
        <v>65.9941386138614</v>
      </c>
      <c r="M159" s="4" t="n">
        <v>69.6640853097814</v>
      </c>
      <c r="N159" s="4" t="n">
        <v>62.0951184722585</v>
      </c>
      <c r="O159" s="4" t="n">
        <v>0</v>
      </c>
    </row>
    <row r="160" customFormat="false" ht="15" hidden="false" customHeight="false" outlineLevel="0" collapsed="false">
      <c r="A160" s="1" t="str">
        <f aca="false">A159</f>
        <v>Karnataka</v>
      </c>
      <c r="B160" s="4" t="n">
        <v>12</v>
      </c>
      <c r="C160" s="4" t="s">
        <v>182</v>
      </c>
      <c r="D160" s="4" t="n">
        <v>1450599</v>
      </c>
      <c r="E160" s="4" t="n">
        <v>521220</v>
      </c>
      <c r="F160" s="4" t="n">
        <v>479217</v>
      </c>
      <c r="G160" s="4" t="n">
        <v>0</v>
      </c>
      <c r="H160" s="4" t="n">
        <f aca="false">E160+F160+G160</f>
        <v>1000437</v>
      </c>
      <c r="I160" s="4" t="n">
        <v>0</v>
      </c>
      <c r="J160" s="4" t="n">
        <v>1033</v>
      </c>
      <c r="K160" s="4" t="n">
        <f aca="false">H160+J160</f>
        <v>1001470</v>
      </c>
      <c r="L160" s="4" t="n">
        <f aca="false">K160/D160*100</f>
        <v>69.0383765603037</v>
      </c>
      <c r="M160" s="4" t="n">
        <v>70.4799946993289</v>
      </c>
      <c r="N160" s="4" t="n">
        <v>67.8070736456046</v>
      </c>
      <c r="O160" s="4" t="n">
        <v>0</v>
      </c>
    </row>
    <row r="161" customFormat="false" ht="15" hidden="false" customHeight="false" outlineLevel="0" collapsed="false">
      <c r="A161" s="1" t="str">
        <f aca="false">A160</f>
        <v>Karnataka</v>
      </c>
      <c r="B161" s="4" t="n">
        <v>13</v>
      </c>
      <c r="C161" s="4" t="s">
        <v>183</v>
      </c>
      <c r="D161" s="4" t="n">
        <v>1522712</v>
      </c>
      <c r="E161" s="4" t="n">
        <v>581109</v>
      </c>
      <c r="F161" s="4" t="n">
        <v>533385</v>
      </c>
      <c r="G161" s="4" t="n">
        <v>0</v>
      </c>
      <c r="H161" s="4" t="n">
        <f aca="false">E161+F161+G161</f>
        <v>1114494</v>
      </c>
      <c r="I161" s="4" t="n">
        <v>0</v>
      </c>
      <c r="J161" s="4" t="n">
        <v>638</v>
      </c>
      <c r="K161" s="4" t="n">
        <f aca="false">H161+J161</f>
        <v>1115132</v>
      </c>
      <c r="L161" s="4" t="n">
        <f aca="false">K161/D161*100</f>
        <v>73.2332837726372</v>
      </c>
      <c r="M161" s="4" t="n">
        <v>75.2906438150815</v>
      </c>
      <c r="N161" s="4" t="n">
        <v>71.0790486813226</v>
      </c>
      <c r="O161" s="4" t="n">
        <v>0</v>
      </c>
    </row>
    <row r="162" customFormat="false" ht="15" hidden="false" customHeight="false" outlineLevel="0" collapsed="false">
      <c r="A162" s="1" t="str">
        <f aca="false">A161</f>
        <v>Karnataka</v>
      </c>
      <c r="B162" s="4" t="n">
        <v>14</v>
      </c>
      <c r="C162" s="4" t="s">
        <v>184</v>
      </c>
      <c r="D162" s="4" t="n">
        <v>1562243</v>
      </c>
      <c r="E162" s="4" t="n">
        <v>572307</v>
      </c>
      <c r="F162" s="4" t="n">
        <v>556790</v>
      </c>
      <c r="G162" s="4" t="n">
        <v>10</v>
      </c>
      <c r="H162" s="4" t="n">
        <f aca="false">E162+F162+G162</f>
        <v>1129107</v>
      </c>
      <c r="I162" s="4" t="n">
        <v>0</v>
      </c>
      <c r="J162" s="4" t="n">
        <v>1257</v>
      </c>
      <c r="K162" s="4" t="n">
        <f aca="false">H162+J162</f>
        <v>1130364</v>
      </c>
      <c r="L162" s="4" t="n">
        <f aca="false">K162/D162*100</f>
        <v>72.3551969827997</v>
      </c>
      <c r="M162" s="4" t="n">
        <v>73.5578128032471</v>
      </c>
      <c r="N162" s="4" t="n">
        <v>71.0944891843268</v>
      </c>
      <c r="O162" s="4" t="n">
        <v>12.1951219512195</v>
      </c>
    </row>
    <row r="163" customFormat="false" ht="15" hidden="false" customHeight="false" outlineLevel="0" collapsed="false">
      <c r="A163" s="1" t="str">
        <f aca="false">A162</f>
        <v>Karnataka</v>
      </c>
      <c r="B163" s="4" t="n">
        <v>15</v>
      </c>
      <c r="C163" s="4" t="s">
        <v>185</v>
      </c>
      <c r="D163" s="4" t="n">
        <v>1387294</v>
      </c>
      <c r="E163" s="4" t="n">
        <v>510562</v>
      </c>
      <c r="F163" s="4" t="n">
        <v>522488</v>
      </c>
      <c r="G163" s="4" t="n">
        <v>1</v>
      </c>
      <c r="H163" s="4" t="n">
        <f aca="false">E163+F163+G163</f>
        <v>1033051</v>
      </c>
      <c r="I163" s="4" t="n">
        <v>0</v>
      </c>
      <c r="J163" s="4" t="n">
        <v>1283</v>
      </c>
      <c r="K163" s="4" t="n">
        <f aca="false">H163+J163</f>
        <v>1034334</v>
      </c>
      <c r="L163" s="4" t="n">
        <f aca="false">K163/D163*100</f>
        <v>74.5576640567897</v>
      </c>
      <c r="M163" s="4" t="n">
        <v>75.2253539803451</v>
      </c>
      <c r="N163" s="4" t="n">
        <v>73.8245380032017</v>
      </c>
      <c r="O163" s="4" t="n">
        <v>1.61290322580645</v>
      </c>
    </row>
    <row r="164" customFormat="false" ht="15" hidden="false" customHeight="false" outlineLevel="0" collapsed="false">
      <c r="A164" s="1" t="str">
        <f aca="false">A163</f>
        <v>Karnataka</v>
      </c>
      <c r="B164" s="4" t="n">
        <v>16</v>
      </c>
      <c r="C164" s="4" t="s">
        <v>186</v>
      </c>
      <c r="D164" s="4" t="n">
        <v>1561486</v>
      </c>
      <c r="E164" s="4" t="n">
        <v>585749</v>
      </c>
      <c r="F164" s="4" t="n">
        <v>560755</v>
      </c>
      <c r="G164" s="4" t="n">
        <v>4</v>
      </c>
      <c r="H164" s="4" t="n">
        <f aca="false">E164+F164+G164</f>
        <v>1146508</v>
      </c>
      <c r="I164" s="4" t="n">
        <v>0</v>
      </c>
      <c r="J164" s="4" t="n">
        <v>1026</v>
      </c>
      <c r="K164" s="4" t="n">
        <f aca="false">H164+J164</f>
        <v>1147534</v>
      </c>
      <c r="L164" s="4" t="n">
        <f aca="false">K164/D164*100</f>
        <v>73.4898679847274</v>
      </c>
      <c r="M164" s="4" t="n">
        <v>74.3044922739687</v>
      </c>
      <c r="N164" s="4" t="n">
        <v>72.7065391866276</v>
      </c>
      <c r="O164" s="4" t="n">
        <v>4.54545454545455</v>
      </c>
    </row>
    <row r="165" customFormat="false" ht="15" hidden="false" customHeight="false" outlineLevel="0" collapsed="false">
      <c r="A165" s="4" t="str">
        <f aca="false">A164</f>
        <v>Karnataka</v>
      </c>
      <c r="B165" s="4" t="n">
        <v>17</v>
      </c>
      <c r="C165" s="4" t="s">
        <v>187</v>
      </c>
      <c r="D165" s="4" t="n">
        <v>1565219</v>
      </c>
      <c r="E165" s="4" t="n">
        <v>595446</v>
      </c>
      <c r="F165" s="4" t="n">
        <v>611674</v>
      </c>
      <c r="G165" s="4" t="n">
        <v>0</v>
      </c>
      <c r="H165" s="4" t="n">
        <f aca="false">E165+F165+G165</f>
        <v>1207120</v>
      </c>
      <c r="I165" s="4" t="n">
        <v>0</v>
      </c>
      <c r="J165" s="4" t="n">
        <v>463</v>
      </c>
      <c r="K165" s="4" t="n">
        <f aca="false">H165+J165</f>
        <v>1207583</v>
      </c>
      <c r="L165" s="4" t="n">
        <f aca="false">K165/D165*100</f>
        <v>77.1510568169694</v>
      </c>
      <c r="M165" s="4" t="n">
        <v>76.9680001240907</v>
      </c>
      <c r="N165" s="4" t="n">
        <v>77.3794855316856</v>
      </c>
      <c r="O165" s="4" t="n">
        <v>0</v>
      </c>
    </row>
    <row r="166" customFormat="false" ht="15" hidden="false" customHeight="false" outlineLevel="0" collapsed="false">
      <c r="A166" s="1" t="str">
        <f aca="false">A165</f>
        <v>Karnataka</v>
      </c>
      <c r="B166" s="4" t="n">
        <v>18</v>
      </c>
      <c r="C166" s="4" t="s">
        <v>188</v>
      </c>
      <c r="D166" s="4" t="n">
        <v>1661277</v>
      </c>
      <c r="E166" s="4" t="n">
        <v>572567</v>
      </c>
      <c r="F166" s="4" t="n">
        <v>524303</v>
      </c>
      <c r="G166" s="4" t="n">
        <v>1</v>
      </c>
      <c r="H166" s="4" t="n">
        <f aca="false">E166+F166+G166</f>
        <v>1096871</v>
      </c>
      <c r="I166" s="4" t="n">
        <v>0</v>
      </c>
      <c r="J166" s="4" t="n">
        <v>795</v>
      </c>
      <c r="K166" s="4" t="n">
        <f aca="false">H166+J166</f>
        <v>1097666</v>
      </c>
      <c r="L166" s="4" t="n">
        <f aca="false">K166/D166*100</f>
        <v>66.0736289011405</v>
      </c>
      <c r="M166" s="4" t="n">
        <v>67.7915791991229</v>
      </c>
      <c r="N166" s="4" t="n">
        <v>64.234949346199</v>
      </c>
      <c r="O166" s="4" t="n">
        <v>1.0989010989011</v>
      </c>
    </row>
    <row r="167" customFormat="false" ht="15" hidden="false" customHeight="false" outlineLevel="0" collapsed="false">
      <c r="A167" s="1" t="str">
        <f aca="false">A166</f>
        <v>Karnataka</v>
      </c>
      <c r="B167" s="4" t="n">
        <v>19</v>
      </c>
      <c r="C167" s="4" t="s">
        <v>189</v>
      </c>
      <c r="D167" s="4" t="n">
        <v>1518518</v>
      </c>
      <c r="E167" s="4" t="n">
        <v>565126</v>
      </c>
      <c r="F167" s="4" t="n">
        <v>535597</v>
      </c>
      <c r="G167" s="4" t="n">
        <v>12</v>
      </c>
      <c r="H167" s="4" t="n">
        <f aca="false">E167+F167+G167</f>
        <v>1100735</v>
      </c>
      <c r="I167" s="4" t="n">
        <v>0</v>
      </c>
      <c r="J167" s="4" t="n">
        <v>1277</v>
      </c>
      <c r="K167" s="4" t="n">
        <f aca="false">H167+J167</f>
        <v>1102012</v>
      </c>
      <c r="L167" s="4" t="n">
        <f aca="false">K167/D167*100</f>
        <v>72.5715467317477</v>
      </c>
      <c r="M167" s="4" t="n">
        <v>73.9442074686625</v>
      </c>
      <c r="N167" s="4" t="n">
        <v>71.0561367851561</v>
      </c>
      <c r="O167" s="4" t="n">
        <v>10.1694915254237</v>
      </c>
    </row>
    <row r="168" customFormat="false" ht="15" hidden="false" customHeight="false" outlineLevel="0" collapsed="false">
      <c r="A168" s="1" t="str">
        <f aca="false">A167</f>
        <v>Karnataka</v>
      </c>
      <c r="B168" s="4" t="n">
        <v>20</v>
      </c>
      <c r="C168" s="4" t="s">
        <v>190</v>
      </c>
      <c r="D168" s="4" t="n">
        <v>1669262</v>
      </c>
      <c r="E168" s="4" t="n">
        <v>604491</v>
      </c>
      <c r="F168" s="4" t="n">
        <v>587306</v>
      </c>
      <c r="G168" s="4" t="n">
        <v>8</v>
      </c>
      <c r="H168" s="4" t="n">
        <f aca="false">E168+F168+G168</f>
        <v>1191805</v>
      </c>
      <c r="I168" s="4" t="n">
        <v>0</v>
      </c>
      <c r="J168" s="4" t="n">
        <v>1236</v>
      </c>
      <c r="K168" s="4" t="n">
        <f aca="false">H168+J168</f>
        <v>1193041</v>
      </c>
      <c r="L168" s="4" t="n">
        <f aca="false">K168/D168*100</f>
        <v>71.4711651017036</v>
      </c>
      <c r="M168" s="4" t="n">
        <v>72.0830953383186</v>
      </c>
      <c r="N168" s="4" t="n">
        <v>70.7603558102297</v>
      </c>
      <c r="O168" s="4" t="n">
        <v>8.98876404494382</v>
      </c>
    </row>
    <row r="169" customFormat="false" ht="15" hidden="false" customHeight="false" outlineLevel="0" collapsed="false">
      <c r="A169" s="1" t="str">
        <f aca="false">A168</f>
        <v>Karnataka</v>
      </c>
      <c r="B169" s="4" t="n">
        <v>21</v>
      </c>
      <c r="C169" s="4" t="s">
        <v>191</v>
      </c>
      <c r="D169" s="4" t="n">
        <v>1723134</v>
      </c>
      <c r="E169" s="4" t="n">
        <v>596311</v>
      </c>
      <c r="F169" s="4" t="n">
        <v>561022</v>
      </c>
      <c r="G169" s="4" t="n">
        <v>13</v>
      </c>
      <c r="H169" s="4" t="n">
        <f aca="false">E169+F169+G169</f>
        <v>1157346</v>
      </c>
      <c r="I169" s="4" t="n">
        <v>0</v>
      </c>
      <c r="J169" s="4" t="n">
        <v>2282</v>
      </c>
      <c r="K169" s="4" t="n">
        <f aca="false">H169+J169</f>
        <v>1159628</v>
      </c>
      <c r="L169" s="4" t="n">
        <f aca="false">K169/D169*100</f>
        <v>67.2976100523813</v>
      </c>
      <c r="M169" s="4" t="n">
        <v>68.8270076674388</v>
      </c>
      <c r="N169" s="4" t="n">
        <v>65.6423276956468</v>
      </c>
      <c r="O169" s="4" t="n">
        <v>9.21985815602837</v>
      </c>
    </row>
    <row r="170" customFormat="false" ht="15" hidden="false" customHeight="false" outlineLevel="0" collapsed="false">
      <c r="A170" s="1" t="str">
        <f aca="false">A169</f>
        <v>Karnataka</v>
      </c>
      <c r="B170" s="4" t="n">
        <v>22</v>
      </c>
      <c r="C170" s="4" t="s">
        <v>192</v>
      </c>
      <c r="D170" s="4" t="n">
        <v>1555781</v>
      </c>
      <c r="E170" s="4" t="n">
        <v>585063</v>
      </c>
      <c r="F170" s="4" t="n">
        <v>547426</v>
      </c>
      <c r="G170" s="4" t="n">
        <v>8</v>
      </c>
      <c r="H170" s="4" t="n">
        <f aca="false">E170+F170+G170</f>
        <v>1132497</v>
      </c>
      <c r="I170" s="4" t="n">
        <v>0</v>
      </c>
      <c r="J170" s="4" t="n">
        <v>829</v>
      </c>
      <c r="K170" s="4" t="n">
        <f aca="false">H170+J170</f>
        <v>1133326</v>
      </c>
      <c r="L170" s="4" t="n">
        <f aca="false">K170/D170*100</f>
        <v>72.8461139453432</v>
      </c>
      <c r="M170" s="4" t="n">
        <v>74.1364038972542</v>
      </c>
      <c r="N170" s="4" t="n">
        <v>71.4368113082468</v>
      </c>
      <c r="O170" s="4" t="n">
        <v>13.1147540983607</v>
      </c>
    </row>
    <row r="171" customFormat="false" ht="15" hidden="false" customHeight="false" outlineLevel="0" collapsed="false">
      <c r="A171" s="1" t="str">
        <f aca="false">A170</f>
        <v>Karnataka</v>
      </c>
      <c r="B171" s="4" t="n">
        <v>23</v>
      </c>
      <c r="C171" s="4" t="s">
        <v>193</v>
      </c>
      <c r="D171" s="4" t="n">
        <v>2190398</v>
      </c>
      <c r="E171" s="4" t="n">
        <v>758651</v>
      </c>
      <c r="F171" s="4" t="n">
        <v>696340</v>
      </c>
      <c r="G171" s="4" t="n">
        <v>12</v>
      </c>
      <c r="H171" s="4" t="n">
        <f aca="false">E171+F171+G171</f>
        <v>1455003</v>
      </c>
      <c r="I171" s="4" t="n">
        <v>0</v>
      </c>
      <c r="J171" s="4" t="n">
        <v>607</v>
      </c>
      <c r="K171" s="4" t="n">
        <f aca="false">H171+J171</f>
        <v>1455610</v>
      </c>
      <c r="L171" s="4" t="n">
        <f aca="false">K171/D171*100</f>
        <v>66.4541329931821</v>
      </c>
      <c r="M171" s="4" t="n">
        <v>66.8022992675663</v>
      </c>
      <c r="N171" s="4" t="n">
        <v>66.051874729661</v>
      </c>
      <c r="O171" s="4" t="n">
        <v>4.59770114942529</v>
      </c>
    </row>
    <row r="172" customFormat="false" ht="15" hidden="false" customHeight="false" outlineLevel="0" collapsed="false">
      <c r="A172" s="1" t="str">
        <f aca="false">A171</f>
        <v>Karnataka</v>
      </c>
      <c r="B172" s="4" t="n">
        <v>24</v>
      </c>
      <c r="C172" s="4" t="s">
        <v>194</v>
      </c>
      <c r="D172" s="4" t="n">
        <v>2401472</v>
      </c>
      <c r="E172" s="4" t="n">
        <v>720898</v>
      </c>
      <c r="F172" s="4" t="n">
        <v>634569</v>
      </c>
      <c r="G172" s="4" t="n">
        <v>18</v>
      </c>
      <c r="H172" s="4" t="n">
        <f aca="false">E172+F172+G172</f>
        <v>1355485</v>
      </c>
      <c r="I172" s="4" t="n">
        <v>0</v>
      </c>
      <c r="J172" s="4" t="n">
        <v>2068</v>
      </c>
      <c r="K172" s="4" t="n">
        <f aca="false">H172+J172</f>
        <v>1357553</v>
      </c>
      <c r="L172" s="4" t="n">
        <f aca="false">K172/D172*100</f>
        <v>56.5300365775658</v>
      </c>
      <c r="M172" s="4" t="n">
        <v>57.2493853357306</v>
      </c>
      <c r="N172" s="4" t="n">
        <v>55.6366658805025</v>
      </c>
      <c r="O172" s="4" t="n">
        <v>4.93150684931507</v>
      </c>
    </row>
    <row r="173" customFormat="false" ht="15" hidden="false" customHeight="false" outlineLevel="0" collapsed="false">
      <c r="A173" s="1" t="str">
        <f aca="false">A172</f>
        <v>Karnataka</v>
      </c>
      <c r="B173" s="4" t="n">
        <v>25</v>
      </c>
      <c r="C173" s="4" t="s">
        <v>195</v>
      </c>
      <c r="D173" s="4" t="n">
        <v>1931456</v>
      </c>
      <c r="E173" s="4" t="n">
        <v>573657</v>
      </c>
      <c r="F173" s="4" t="n">
        <v>500273</v>
      </c>
      <c r="G173" s="4" t="n">
        <v>27</v>
      </c>
      <c r="H173" s="4" t="n">
        <f aca="false">E173+F173+G173</f>
        <v>1073957</v>
      </c>
      <c r="I173" s="4" t="n">
        <v>0</v>
      </c>
      <c r="J173" s="4" t="n">
        <v>645</v>
      </c>
      <c r="K173" s="4" t="n">
        <f aca="false">H173+J173</f>
        <v>1074602</v>
      </c>
      <c r="L173" s="4" t="n">
        <f aca="false">K173/D173*100</f>
        <v>55.6368874051493</v>
      </c>
      <c r="M173" s="4" t="n">
        <v>56.8077344324049</v>
      </c>
      <c r="N173" s="4" t="n">
        <v>54.3506791213901</v>
      </c>
      <c r="O173" s="4" t="n">
        <v>9.03010033444816</v>
      </c>
    </row>
    <row r="174" customFormat="false" ht="15" hidden="false" customHeight="false" outlineLevel="0" collapsed="false">
      <c r="A174" s="1" t="str">
        <f aca="false">A173</f>
        <v>Karnataka</v>
      </c>
      <c r="B174" s="4" t="n">
        <v>26</v>
      </c>
      <c r="C174" s="4" t="s">
        <v>196</v>
      </c>
      <c r="D174" s="4" t="n">
        <v>1998724</v>
      </c>
      <c r="E174" s="4" t="n">
        <v>596688</v>
      </c>
      <c r="F174" s="4" t="n">
        <v>516207</v>
      </c>
      <c r="G174" s="4" t="n">
        <v>19</v>
      </c>
      <c r="H174" s="4" t="n">
        <f aca="false">E174+F174+G174</f>
        <v>1112914</v>
      </c>
      <c r="I174" s="4" t="n">
        <v>0</v>
      </c>
      <c r="J174" s="4" t="n">
        <v>1445</v>
      </c>
      <c r="K174" s="4" t="n">
        <f aca="false">H174+J174</f>
        <v>1114359</v>
      </c>
      <c r="L174" s="4" t="n">
        <f aca="false">K174/D174*100</f>
        <v>55.7535207462361</v>
      </c>
      <c r="M174" s="4" t="n">
        <v>56.7958392665413</v>
      </c>
      <c r="N174" s="4" t="n">
        <v>54.4749705573214</v>
      </c>
      <c r="O174" s="4" t="n">
        <v>5.9375</v>
      </c>
    </row>
    <row r="175" customFormat="false" ht="15" hidden="false" customHeight="false" outlineLevel="0" collapsed="false">
      <c r="A175" s="1" t="str">
        <f aca="false">A174</f>
        <v>Karnataka</v>
      </c>
      <c r="B175" s="4" t="n">
        <v>27</v>
      </c>
      <c r="C175" s="4" t="s">
        <v>197</v>
      </c>
      <c r="D175" s="4" t="n">
        <v>1658410</v>
      </c>
      <c r="E175" s="4" t="n">
        <v>652727</v>
      </c>
      <c r="F175" s="4" t="n">
        <v>608718</v>
      </c>
      <c r="G175" s="4" t="n">
        <v>6</v>
      </c>
      <c r="H175" s="4" t="n">
        <f aca="false">E175+F175+G175</f>
        <v>1261451</v>
      </c>
      <c r="I175" s="4" t="n">
        <v>0</v>
      </c>
      <c r="J175" s="4" t="n">
        <v>2460</v>
      </c>
      <c r="K175" s="4" t="n">
        <f aca="false">H175+J175</f>
        <v>1263911</v>
      </c>
      <c r="L175" s="4" t="n">
        <f aca="false">K175/D175*100</f>
        <v>76.2122153146689</v>
      </c>
      <c r="M175" s="4" t="n">
        <v>77.3804132633101</v>
      </c>
      <c r="N175" s="4" t="n">
        <v>74.7454530273039</v>
      </c>
      <c r="O175" s="4" t="n">
        <v>5</v>
      </c>
    </row>
    <row r="176" customFormat="false" ht="15" hidden="false" customHeight="false" outlineLevel="0" collapsed="false">
      <c r="A176" s="1" t="str">
        <f aca="false">A175</f>
        <v>Karnataka</v>
      </c>
      <c r="B176" s="4" t="n">
        <v>28</v>
      </c>
      <c r="C176" s="4" t="s">
        <v>198</v>
      </c>
      <c r="D176" s="4" t="n">
        <v>1492977</v>
      </c>
      <c r="E176" s="4" t="n">
        <v>581924</v>
      </c>
      <c r="F176" s="4" t="n">
        <v>544042</v>
      </c>
      <c r="G176" s="4" t="n">
        <v>7</v>
      </c>
      <c r="H176" s="4" t="n">
        <f aca="false">E176+F176+G176</f>
        <v>1125973</v>
      </c>
      <c r="I176" s="4" t="n">
        <v>0</v>
      </c>
      <c r="J176" s="4" t="n">
        <v>1367</v>
      </c>
      <c r="K176" s="4" t="n">
        <f aca="false">H176+J176</f>
        <v>1127340</v>
      </c>
      <c r="L176" s="4" t="n">
        <f aca="false">K176/D176*100</f>
        <v>75.5095356458941</v>
      </c>
      <c r="M176" s="4" t="n">
        <v>77.2004675085535</v>
      </c>
      <c r="N176" s="4" t="n">
        <v>73.8260661886436</v>
      </c>
      <c r="O176" s="4" t="n">
        <v>4.9645390070922</v>
      </c>
    </row>
    <row r="177" customFormat="false" ht="15" hidden="false" customHeight="false" outlineLevel="0" collapsed="false">
      <c r="A177" s="4" t="s">
        <v>199</v>
      </c>
      <c r="B177" s="4" t="n">
        <v>1</v>
      </c>
      <c r="C177" s="4" t="s">
        <v>200</v>
      </c>
      <c r="D177" s="4" t="n">
        <v>1242829</v>
      </c>
      <c r="E177" s="4" t="n">
        <v>459280</v>
      </c>
      <c r="F177" s="4" t="n">
        <v>514333</v>
      </c>
      <c r="G177" s="4" t="n">
        <v>0</v>
      </c>
      <c r="H177" s="4" t="n">
        <f aca="false">E177+F177+G177</f>
        <v>973613</v>
      </c>
      <c r="I177" s="4" t="n">
        <v>0</v>
      </c>
      <c r="J177" s="4" t="n">
        <v>1582</v>
      </c>
      <c r="K177" s="4" t="n">
        <f aca="false">H177+J177</f>
        <v>975195</v>
      </c>
      <c r="L177" s="4" t="n">
        <f aca="false">K177/D177*100</f>
        <v>78.465742270256</v>
      </c>
      <c r="M177" s="4" t="n">
        <v>77.4949464952806</v>
      </c>
      <c r="N177" s="4" t="n">
        <v>79.3962689389554</v>
      </c>
      <c r="O177" s="4" t="n">
        <v>0</v>
      </c>
    </row>
    <row r="178" customFormat="false" ht="15" hidden="false" customHeight="false" outlineLevel="0" collapsed="false">
      <c r="A178" s="1" t="str">
        <f aca="false">A177</f>
        <v>Kerala</v>
      </c>
      <c r="B178" s="4" t="n">
        <v>2</v>
      </c>
      <c r="C178" s="4" t="s">
        <v>201</v>
      </c>
      <c r="D178" s="4" t="n">
        <v>1168593</v>
      </c>
      <c r="E178" s="4" t="n">
        <v>438891</v>
      </c>
      <c r="F178" s="4" t="n">
        <v>506993</v>
      </c>
      <c r="G178" s="4" t="n">
        <v>0</v>
      </c>
      <c r="H178" s="4" t="n">
        <f aca="false">E178+F178+G178</f>
        <v>945884</v>
      </c>
      <c r="I178" s="4" t="n">
        <v>0</v>
      </c>
      <c r="J178" s="4" t="n">
        <v>2688</v>
      </c>
      <c r="K178" s="4" t="n">
        <f aca="false">H178+J178</f>
        <v>948572</v>
      </c>
      <c r="L178" s="4" t="n">
        <f aca="false">K178/D178*100</f>
        <v>81.1721446217802</v>
      </c>
      <c r="M178" s="4" t="n">
        <v>80.7825893292644</v>
      </c>
      <c r="N178" s="4" t="n">
        <v>81.8076348392385</v>
      </c>
      <c r="O178" s="4" t="n">
        <v>0</v>
      </c>
    </row>
    <row r="179" customFormat="false" ht="15" hidden="false" customHeight="false" outlineLevel="0" collapsed="false">
      <c r="A179" s="1" t="str">
        <f aca="false">A178</f>
        <v>Kerala</v>
      </c>
      <c r="B179" s="4" t="n">
        <v>3</v>
      </c>
      <c r="C179" s="4" t="s">
        <v>202</v>
      </c>
      <c r="D179" s="4" t="n">
        <v>1179031</v>
      </c>
      <c r="E179" s="4" t="n">
        <v>436972</v>
      </c>
      <c r="F179" s="4" t="n">
        <v>520810</v>
      </c>
      <c r="G179" s="4" t="n">
        <v>0</v>
      </c>
      <c r="H179" s="4" t="n">
        <f aca="false">E179+F179+G179</f>
        <v>957782</v>
      </c>
      <c r="I179" s="4" t="n">
        <v>0</v>
      </c>
      <c r="J179" s="4" t="n">
        <v>2482</v>
      </c>
      <c r="K179" s="4" t="n">
        <f aca="false">H179+J179</f>
        <v>960264</v>
      </c>
      <c r="L179" s="4" t="n">
        <f aca="false">K179/D179*100</f>
        <v>81.4451867677779</v>
      </c>
      <c r="M179" s="4" t="n">
        <v>78.2373447014526</v>
      </c>
      <c r="N179" s="4" t="n">
        <v>83.9519187835588</v>
      </c>
      <c r="O179" s="4" t="n">
        <v>0</v>
      </c>
    </row>
    <row r="180" customFormat="false" ht="15" hidden="false" customHeight="false" outlineLevel="0" collapsed="false">
      <c r="A180" s="1" t="str">
        <f aca="false">A179</f>
        <v>Kerala</v>
      </c>
      <c r="B180" s="4" t="n">
        <v>4</v>
      </c>
      <c r="C180" s="4" t="s">
        <v>203</v>
      </c>
      <c r="D180" s="4" t="n">
        <v>1249123</v>
      </c>
      <c r="E180" s="4" t="n">
        <v>454055</v>
      </c>
      <c r="F180" s="4" t="n">
        <v>460171</v>
      </c>
      <c r="G180" s="4" t="n">
        <v>0</v>
      </c>
      <c r="H180" s="4" t="n">
        <f aca="false">E180+F180+G180</f>
        <v>914226</v>
      </c>
      <c r="I180" s="4" t="n">
        <v>0</v>
      </c>
      <c r="J180" s="4" t="n">
        <v>912</v>
      </c>
      <c r="K180" s="4" t="n">
        <f aca="false">H180+J180</f>
        <v>915138</v>
      </c>
      <c r="L180" s="4" t="n">
        <f aca="false">K180/D180*100</f>
        <v>73.2624409285555</v>
      </c>
      <c r="M180" s="4" t="n">
        <v>74.033402303236</v>
      </c>
      <c r="N180" s="4" t="n">
        <v>72.5804594528521</v>
      </c>
      <c r="O180" s="4" t="n">
        <v>0</v>
      </c>
    </row>
    <row r="181" customFormat="false" ht="15" hidden="false" customHeight="false" outlineLevel="0" collapsed="false">
      <c r="A181" s="1" t="str">
        <f aca="false">A180</f>
        <v>Kerala</v>
      </c>
      <c r="B181" s="4" t="n">
        <v>5</v>
      </c>
      <c r="C181" s="4" t="s">
        <v>204</v>
      </c>
      <c r="D181" s="4" t="n">
        <v>1181909</v>
      </c>
      <c r="E181" s="4" t="n">
        <v>456299</v>
      </c>
      <c r="F181" s="4" t="n">
        <v>484028</v>
      </c>
      <c r="G181" s="4" t="n">
        <v>0</v>
      </c>
      <c r="H181" s="4" t="n">
        <f aca="false">E181+F181+G181</f>
        <v>940327</v>
      </c>
      <c r="I181" s="4" t="n">
        <v>0</v>
      </c>
      <c r="J181" s="4" t="n">
        <v>2900</v>
      </c>
      <c r="K181" s="4" t="n">
        <f aca="false">H181+J181</f>
        <v>943227</v>
      </c>
      <c r="L181" s="4" t="n">
        <f aca="false">K181/D181*100</f>
        <v>79.8053826479027</v>
      </c>
      <c r="M181" s="4" t="n">
        <v>80.2505482832184</v>
      </c>
      <c r="N181" s="4" t="n">
        <v>79.3975322574825</v>
      </c>
      <c r="O181" s="4" t="n">
        <v>0</v>
      </c>
    </row>
    <row r="182" customFormat="false" ht="15" hidden="false" customHeight="false" outlineLevel="0" collapsed="false">
      <c r="A182" s="1" t="str">
        <f aca="false">A181</f>
        <v>Kerala</v>
      </c>
      <c r="B182" s="4" t="n">
        <v>6</v>
      </c>
      <c r="C182" s="4" t="s">
        <v>205</v>
      </c>
      <c r="D182" s="4" t="n">
        <v>1197664</v>
      </c>
      <c r="E182" s="4" t="n">
        <v>415672</v>
      </c>
      <c r="F182" s="4" t="n">
        <v>437264</v>
      </c>
      <c r="G182" s="4" t="n">
        <v>0</v>
      </c>
      <c r="H182" s="4" t="n">
        <f aca="false">E182+F182+G182</f>
        <v>852936</v>
      </c>
      <c r="I182" s="4" t="n">
        <v>0</v>
      </c>
      <c r="J182" s="4" t="n">
        <v>532</v>
      </c>
      <c r="K182" s="4" t="n">
        <f aca="false">H182+J182</f>
        <v>853468</v>
      </c>
      <c r="L182" s="4" t="n">
        <f aca="false">K182/D182*100</f>
        <v>71.261054853448</v>
      </c>
      <c r="M182" s="4" t="n">
        <v>69.5467694629463</v>
      </c>
      <c r="N182" s="4" t="n">
        <v>72.8735681989764</v>
      </c>
      <c r="O182" s="4" t="n">
        <v>0</v>
      </c>
    </row>
    <row r="183" customFormat="false" ht="15" hidden="false" customHeight="false" outlineLevel="0" collapsed="false">
      <c r="A183" s="1" t="str">
        <f aca="false">A182</f>
        <v>Kerala</v>
      </c>
      <c r="B183" s="4" t="n">
        <v>7</v>
      </c>
      <c r="C183" s="4" t="s">
        <v>206</v>
      </c>
      <c r="D183" s="4" t="n">
        <v>1179083</v>
      </c>
      <c r="E183" s="4" t="n">
        <v>405012</v>
      </c>
      <c r="F183" s="4" t="n">
        <v>466307</v>
      </c>
      <c r="G183" s="4" t="n">
        <v>0</v>
      </c>
      <c r="H183" s="4" t="n">
        <f aca="false">E183+F183+G183</f>
        <v>871319</v>
      </c>
      <c r="I183" s="4" t="n">
        <v>0</v>
      </c>
      <c r="J183" s="4" t="n">
        <v>276</v>
      </c>
      <c r="K183" s="4" t="n">
        <f aca="false">H183+J183</f>
        <v>871595</v>
      </c>
      <c r="L183" s="4" t="n">
        <f aca="false">K183/D183*100</f>
        <v>73.9214287713418</v>
      </c>
      <c r="M183" s="4" t="n">
        <v>70.6068171041254</v>
      </c>
      <c r="N183" s="4" t="n">
        <v>76.8956902451292</v>
      </c>
      <c r="O183" s="4" t="n">
        <v>0</v>
      </c>
    </row>
    <row r="184" customFormat="false" ht="15" hidden="false" customHeight="false" outlineLevel="0" collapsed="false">
      <c r="A184" s="1" t="str">
        <f aca="false">A183</f>
        <v>Kerala</v>
      </c>
      <c r="B184" s="4" t="n">
        <v>8</v>
      </c>
      <c r="C184" s="4" t="s">
        <v>207</v>
      </c>
      <c r="D184" s="4" t="n">
        <v>1208529</v>
      </c>
      <c r="E184" s="4" t="n">
        <v>444249</v>
      </c>
      <c r="F184" s="4" t="n">
        <v>465167</v>
      </c>
      <c r="G184" s="4" t="n">
        <v>0</v>
      </c>
      <c r="H184" s="4" t="n">
        <f aca="false">E184+F184+G184</f>
        <v>909416</v>
      </c>
      <c r="I184" s="4" t="n">
        <v>0</v>
      </c>
      <c r="J184" s="4" t="n">
        <v>1060</v>
      </c>
      <c r="K184" s="4" t="n">
        <f aca="false">H184+J184</f>
        <v>910476</v>
      </c>
      <c r="L184" s="4" t="n">
        <f aca="false">K184/D184*100</f>
        <v>75.3375384454986</v>
      </c>
      <c r="M184" s="4" t="n">
        <v>75.897575201554</v>
      </c>
      <c r="N184" s="4" t="n">
        <v>74.9699824810507</v>
      </c>
      <c r="O184" s="4" t="n">
        <v>0</v>
      </c>
    </row>
    <row r="185" customFormat="false" ht="15" hidden="false" customHeight="false" outlineLevel="0" collapsed="false">
      <c r="A185" s="1" t="str">
        <f aca="false">A184</f>
        <v>Kerala</v>
      </c>
      <c r="B185" s="4" t="n">
        <v>9</v>
      </c>
      <c r="C185" s="4" t="s">
        <v>208</v>
      </c>
      <c r="D185" s="4" t="n">
        <v>1216207</v>
      </c>
      <c r="E185" s="4" t="n">
        <v>452923</v>
      </c>
      <c r="F185" s="4" t="n">
        <v>474384</v>
      </c>
      <c r="G185" s="4" t="n">
        <v>0</v>
      </c>
      <c r="H185" s="4" t="n">
        <f aca="false">E185+F185+G185</f>
        <v>927307</v>
      </c>
      <c r="I185" s="4" t="n">
        <v>0</v>
      </c>
      <c r="J185" s="4" t="n">
        <v>1349</v>
      </c>
      <c r="K185" s="4" t="n">
        <f aca="false">H185+J185</f>
        <v>928656</v>
      </c>
      <c r="L185" s="4" t="n">
        <f aca="false">K185/D185*100</f>
        <v>76.3567386143971</v>
      </c>
      <c r="M185" s="4" t="n">
        <v>76.7650488464641</v>
      </c>
      <c r="N185" s="4" t="n">
        <v>76.0817232514166</v>
      </c>
      <c r="O185" s="4" t="n">
        <v>0</v>
      </c>
    </row>
    <row r="186" customFormat="false" ht="15" hidden="false" customHeight="false" outlineLevel="0" collapsed="false">
      <c r="A186" s="1" t="str">
        <f aca="false">A185</f>
        <v>Kerala</v>
      </c>
      <c r="B186" s="4" t="n">
        <v>10</v>
      </c>
      <c r="C186" s="4" t="s">
        <v>209</v>
      </c>
      <c r="D186" s="4" t="n">
        <v>1274931</v>
      </c>
      <c r="E186" s="4" t="n">
        <v>433933</v>
      </c>
      <c r="F186" s="4" t="n">
        <v>485624</v>
      </c>
      <c r="G186" s="4" t="n">
        <v>0</v>
      </c>
      <c r="H186" s="4" t="n">
        <f aca="false">E186+F186+G186</f>
        <v>919557</v>
      </c>
      <c r="I186" s="4" t="n">
        <v>0</v>
      </c>
      <c r="J186" s="4" t="n">
        <v>1110</v>
      </c>
      <c r="K186" s="4" t="n">
        <f aca="false">H186+J186</f>
        <v>920667</v>
      </c>
      <c r="L186" s="4" t="n">
        <f aca="false">K186/D186*100</f>
        <v>72.2130844728068</v>
      </c>
      <c r="M186" s="4" t="n">
        <v>71.6387331523928</v>
      </c>
      <c r="N186" s="4" t="n">
        <v>72.6593721618835</v>
      </c>
      <c r="O186" s="4" t="n">
        <v>0</v>
      </c>
    </row>
    <row r="187" customFormat="false" ht="15" hidden="false" customHeight="false" outlineLevel="0" collapsed="false">
      <c r="A187" s="1" t="str">
        <f aca="false">A186</f>
        <v>Kerala</v>
      </c>
      <c r="B187" s="4" t="n">
        <v>11</v>
      </c>
      <c r="C187" s="4" t="s">
        <v>210</v>
      </c>
      <c r="D187" s="4" t="n">
        <v>1150143</v>
      </c>
      <c r="E187" s="4" t="n">
        <v>437197</v>
      </c>
      <c r="F187" s="4" t="n">
        <v>446915</v>
      </c>
      <c r="G187" s="4" t="n">
        <v>0</v>
      </c>
      <c r="H187" s="4" t="n">
        <f aca="false">E187+F187+G187</f>
        <v>884112</v>
      </c>
      <c r="I187" s="4" t="n">
        <v>0</v>
      </c>
      <c r="J187" s="4" t="n">
        <v>925</v>
      </c>
      <c r="K187" s="4" t="n">
        <f aca="false">H187+J187</f>
        <v>885037</v>
      </c>
      <c r="L187" s="4" t="n">
        <f aca="false">K187/D187*100</f>
        <v>76.9501705440106</v>
      </c>
      <c r="M187" s="4" t="n">
        <v>77.4711828966837</v>
      </c>
      <c r="N187" s="4" t="n">
        <v>76.3906337868074</v>
      </c>
      <c r="O187" s="4" t="n">
        <v>0</v>
      </c>
    </row>
    <row r="188" customFormat="false" ht="15" hidden="false" customHeight="false" outlineLevel="0" collapsed="false">
      <c r="A188" s="1" t="str">
        <f aca="false">A187</f>
        <v>Kerala</v>
      </c>
      <c r="B188" s="4" t="n">
        <v>12</v>
      </c>
      <c r="C188" s="4" t="s">
        <v>211</v>
      </c>
      <c r="D188" s="4" t="n">
        <v>1156355</v>
      </c>
      <c r="E188" s="4" t="n">
        <v>428604</v>
      </c>
      <c r="F188" s="4" t="n">
        <v>421361</v>
      </c>
      <c r="G188" s="4" t="n">
        <v>0</v>
      </c>
      <c r="H188" s="4" t="n">
        <f aca="false">E188+F188+G188</f>
        <v>849965</v>
      </c>
      <c r="I188" s="4" t="n">
        <v>0</v>
      </c>
      <c r="J188" s="4" t="n">
        <v>945</v>
      </c>
      <c r="K188" s="4" t="n">
        <f aca="false">H188+J188</f>
        <v>850910</v>
      </c>
      <c r="L188" s="4" t="n">
        <f aca="false">K188/D188*100</f>
        <v>73.585533854223</v>
      </c>
      <c r="M188" s="4" t="n">
        <v>75.8560270997818</v>
      </c>
      <c r="N188" s="4" t="n">
        <v>71.3935224798583</v>
      </c>
      <c r="O188" s="4" t="n">
        <v>0</v>
      </c>
    </row>
    <row r="189" customFormat="false" ht="15" hidden="false" customHeight="false" outlineLevel="0" collapsed="false">
      <c r="A189" s="1" t="str">
        <f aca="false">A188</f>
        <v>Kerala</v>
      </c>
      <c r="B189" s="4" t="n">
        <v>13</v>
      </c>
      <c r="C189" s="4" t="s">
        <v>212</v>
      </c>
      <c r="D189" s="4" t="n">
        <v>1158618</v>
      </c>
      <c r="E189" s="4" t="n">
        <v>424879</v>
      </c>
      <c r="F189" s="4" t="n">
        <v>394103</v>
      </c>
      <c r="G189" s="4" t="n">
        <v>0</v>
      </c>
      <c r="H189" s="4" t="n">
        <f aca="false">E189+F189+G189</f>
        <v>818982</v>
      </c>
      <c r="I189" s="4" t="n">
        <v>0</v>
      </c>
      <c r="J189" s="4" t="n">
        <v>1285</v>
      </c>
      <c r="K189" s="4" t="n">
        <f aca="false">H189+J189</f>
        <v>820267</v>
      </c>
      <c r="L189" s="4" t="n">
        <f aca="false">K189/D189*100</f>
        <v>70.7970185168882</v>
      </c>
      <c r="M189" s="4" t="n">
        <v>73.5154729256244</v>
      </c>
      <c r="N189" s="4" t="n">
        <v>68.0104715655922</v>
      </c>
      <c r="O189" s="4" t="n">
        <v>0</v>
      </c>
    </row>
    <row r="190" customFormat="false" ht="15" hidden="false" customHeight="false" outlineLevel="0" collapsed="false">
      <c r="A190" s="1" t="str">
        <f aca="false">A189</f>
        <v>Kerala</v>
      </c>
      <c r="B190" s="4" t="n">
        <v>14</v>
      </c>
      <c r="C190" s="4" t="s">
        <v>213</v>
      </c>
      <c r="D190" s="4" t="n">
        <v>1161267</v>
      </c>
      <c r="E190" s="4" t="n">
        <v>426604</v>
      </c>
      <c r="F190" s="4" t="n">
        <v>404356</v>
      </c>
      <c r="G190" s="4" t="n">
        <v>0</v>
      </c>
      <c r="H190" s="4" t="n">
        <f aca="false">E190+F190+G190</f>
        <v>830960</v>
      </c>
      <c r="I190" s="4" t="n">
        <v>0</v>
      </c>
      <c r="J190" s="4" t="n">
        <v>1461</v>
      </c>
      <c r="K190" s="4" t="n">
        <f aca="false">H190+J190</f>
        <v>832421</v>
      </c>
      <c r="L190" s="4" t="n">
        <f aca="false">K190/D190*100</f>
        <v>71.6821368384704</v>
      </c>
      <c r="M190" s="4" t="n">
        <v>74.5860739000143</v>
      </c>
      <c r="N190" s="4" t="n">
        <v>68.8787251620376</v>
      </c>
      <c r="O190" s="4" t="n">
        <v>0</v>
      </c>
    </row>
    <row r="191" customFormat="false" ht="15" hidden="false" customHeight="false" outlineLevel="0" collapsed="false">
      <c r="A191" s="1" t="str">
        <f aca="false">A190</f>
        <v>Kerala</v>
      </c>
      <c r="B191" s="4" t="n">
        <v>15</v>
      </c>
      <c r="C191" s="4" t="s">
        <v>214</v>
      </c>
      <c r="D191" s="4" t="n">
        <v>1271149</v>
      </c>
      <c r="E191" s="4" t="n">
        <v>477034</v>
      </c>
      <c r="F191" s="4" t="n">
        <v>517975</v>
      </c>
      <c r="G191" s="4" t="n">
        <v>0</v>
      </c>
      <c r="H191" s="4" t="n">
        <f aca="false">E191+F191+G191</f>
        <v>995009</v>
      </c>
      <c r="I191" s="4" t="n">
        <v>0</v>
      </c>
      <c r="J191" s="4" t="n">
        <v>3647</v>
      </c>
      <c r="K191" s="4" t="n">
        <f aca="false">H191+J191</f>
        <v>998656</v>
      </c>
      <c r="L191" s="4" t="n">
        <f aca="false">K191/D191*100</f>
        <v>78.5632526163337</v>
      </c>
      <c r="M191" s="4" t="n">
        <v>78.8603263295366</v>
      </c>
      <c r="N191" s="4" t="n">
        <v>78.8599468050284</v>
      </c>
      <c r="O191" s="4" t="n">
        <v>0</v>
      </c>
    </row>
    <row r="192" customFormat="false" ht="15" hidden="false" customHeight="false" outlineLevel="0" collapsed="false">
      <c r="A192" s="1" t="str">
        <f aca="false">A191</f>
        <v>Kerala</v>
      </c>
      <c r="B192" s="4" t="n">
        <v>16</v>
      </c>
      <c r="C192" s="4" t="s">
        <v>215</v>
      </c>
      <c r="D192" s="4" t="n">
        <v>1252369</v>
      </c>
      <c r="E192" s="4" t="n">
        <v>416193</v>
      </c>
      <c r="F192" s="4" t="n">
        <v>470987</v>
      </c>
      <c r="G192" s="4" t="n">
        <v>0</v>
      </c>
      <c r="H192" s="4" t="n">
        <f aca="false">E192+F192+G192</f>
        <v>887180</v>
      </c>
      <c r="I192" s="4" t="n">
        <v>0</v>
      </c>
      <c r="J192" s="4" t="n">
        <v>2089</v>
      </c>
      <c r="K192" s="4" t="n">
        <f aca="false">H192+J192</f>
        <v>889269</v>
      </c>
      <c r="L192" s="4" t="n">
        <f aca="false">K192/D192*100</f>
        <v>71.0069476328462</v>
      </c>
      <c r="M192" s="4" t="n">
        <v>71.0454889964699</v>
      </c>
      <c r="N192" s="4" t="n">
        <v>71.6410668272931</v>
      </c>
      <c r="O192" s="4" t="n">
        <v>0</v>
      </c>
    </row>
    <row r="193" customFormat="false" ht="15" hidden="false" customHeight="false" outlineLevel="0" collapsed="false">
      <c r="A193" s="1" t="str">
        <f aca="false">A192</f>
        <v>Kerala</v>
      </c>
      <c r="B193" s="4" t="n">
        <v>17</v>
      </c>
      <c r="C193" s="4" t="s">
        <v>216</v>
      </c>
      <c r="D193" s="4" t="n">
        <v>1323320</v>
      </c>
      <c r="E193" s="4" t="n">
        <v>425887</v>
      </c>
      <c r="F193" s="4" t="n">
        <v>444099</v>
      </c>
      <c r="G193" s="4" t="n">
        <v>0</v>
      </c>
      <c r="H193" s="4" t="n">
        <f aca="false">E193+F193+G193</f>
        <v>869986</v>
      </c>
      <c r="I193" s="4" t="n">
        <v>0</v>
      </c>
      <c r="J193" s="4" t="n">
        <v>1265</v>
      </c>
      <c r="K193" s="4" t="n">
        <f aca="false">H193+J193</f>
        <v>871251</v>
      </c>
      <c r="L193" s="4" t="n">
        <f aca="false">K193/D193*100</f>
        <v>65.838270410785</v>
      </c>
      <c r="M193" s="4" t="n">
        <v>67.9025769966024</v>
      </c>
      <c r="N193" s="4" t="n">
        <v>64.3017861486604</v>
      </c>
      <c r="O193" s="4" t="n">
        <v>0</v>
      </c>
    </row>
    <row r="194" customFormat="false" ht="15" hidden="false" customHeight="false" outlineLevel="0" collapsed="false">
      <c r="A194" s="1" t="str">
        <f aca="false">A193</f>
        <v>Kerala</v>
      </c>
      <c r="B194" s="4" t="n">
        <v>18</v>
      </c>
      <c r="C194" s="4" t="s">
        <v>217</v>
      </c>
      <c r="D194" s="4" t="n">
        <v>1219202</v>
      </c>
      <c r="E194" s="4" t="n">
        <v>406898</v>
      </c>
      <c r="F194" s="4" t="n">
        <v>469024</v>
      </c>
      <c r="G194" s="4" t="n">
        <v>0</v>
      </c>
      <c r="H194" s="4" t="n">
        <f aca="false">E194+F194+G194</f>
        <v>875922</v>
      </c>
      <c r="I194" s="4" t="n">
        <v>0</v>
      </c>
      <c r="J194" s="4" t="n">
        <v>3306</v>
      </c>
      <c r="K194" s="4" t="n">
        <f aca="false">H194+J194</f>
        <v>879228</v>
      </c>
      <c r="L194" s="4" t="n">
        <f aca="false">K194/D194*100</f>
        <v>72.1150391813662</v>
      </c>
      <c r="M194" s="4" t="n">
        <v>71.0665625725908</v>
      </c>
      <c r="N194" s="4" t="n">
        <v>73.0083667354166</v>
      </c>
      <c r="O194" s="4" t="n">
        <v>0</v>
      </c>
    </row>
    <row r="195" customFormat="false" ht="15" hidden="false" customHeight="false" outlineLevel="0" collapsed="false">
      <c r="A195" s="4" t="str">
        <f aca="false">A194</f>
        <v>Kerala</v>
      </c>
      <c r="B195" s="4" t="n">
        <v>19</v>
      </c>
      <c r="C195" s="4" t="s">
        <v>218</v>
      </c>
      <c r="D195" s="4" t="n">
        <v>1251111</v>
      </c>
      <c r="E195" s="4" t="n">
        <v>394491</v>
      </c>
      <c r="F195" s="4" t="n">
        <v>462016</v>
      </c>
      <c r="G195" s="4" t="n">
        <v>0</v>
      </c>
      <c r="H195" s="4" t="n">
        <f aca="false">E195+F195+G195</f>
        <v>856507</v>
      </c>
      <c r="I195" s="4" t="n">
        <v>0</v>
      </c>
      <c r="J195" s="4" t="n">
        <v>2858</v>
      </c>
      <c r="K195" s="4" t="n">
        <f aca="false">H195+J195</f>
        <v>859365</v>
      </c>
      <c r="L195" s="4" t="n">
        <f aca="false">K195/D195*100</f>
        <v>68.6881499723046</v>
      </c>
      <c r="M195" s="4" t="n">
        <v>68.9320099949326</v>
      </c>
      <c r="N195" s="4" t="n">
        <v>68.5215286593975</v>
      </c>
      <c r="O195" s="4" t="n">
        <v>0</v>
      </c>
    </row>
    <row r="196" customFormat="false" ht="15" hidden="false" customHeight="false" outlineLevel="0" collapsed="false">
      <c r="A196" s="1" t="str">
        <f aca="false">A195</f>
        <v>Kerala</v>
      </c>
      <c r="B196" s="4" t="n">
        <v>20</v>
      </c>
      <c r="C196" s="4" t="s">
        <v>219</v>
      </c>
      <c r="D196" s="4" t="n">
        <v>1272632</v>
      </c>
      <c r="E196" s="4" t="n">
        <v>433243</v>
      </c>
      <c r="F196" s="4" t="n">
        <v>437404</v>
      </c>
      <c r="G196" s="4" t="n">
        <v>0</v>
      </c>
      <c r="H196" s="4" t="n">
        <f aca="false">E196+F196+G196</f>
        <v>870647</v>
      </c>
      <c r="I196" s="4" t="n">
        <v>0</v>
      </c>
      <c r="J196" s="4" t="n">
        <v>2815</v>
      </c>
      <c r="K196" s="4" t="n">
        <f aca="false">H196+J196</f>
        <v>873462</v>
      </c>
      <c r="L196" s="4" t="n">
        <f aca="false">K196/D196*100</f>
        <v>68.6342949100761</v>
      </c>
      <c r="M196" s="4" t="n">
        <v>70.9401751386897</v>
      </c>
      <c r="N196" s="4" t="n">
        <v>66.6023083716539</v>
      </c>
      <c r="O196" s="4" t="n">
        <v>0</v>
      </c>
    </row>
    <row r="197" customFormat="false" ht="15" hidden="false" customHeight="false" outlineLevel="0" collapsed="false">
      <c r="A197" s="4" t="s">
        <v>220</v>
      </c>
      <c r="B197" s="4" t="n">
        <v>1</v>
      </c>
      <c r="C197" s="4" t="s">
        <v>221</v>
      </c>
      <c r="D197" s="4" t="n">
        <v>1702457</v>
      </c>
      <c r="E197" s="4" t="n">
        <v>538721</v>
      </c>
      <c r="F197" s="4" t="n">
        <v>315516</v>
      </c>
      <c r="G197" s="4" t="n">
        <v>1</v>
      </c>
      <c r="H197" s="4" t="n">
        <f aca="false">E197+F197+G197</f>
        <v>854238</v>
      </c>
      <c r="I197" s="4" t="n">
        <v>0</v>
      </c>
      <c r="J197" s="4" t="n">
        <v>43</v>
      </c>
      <c r="K197" s="4" t="n">
        <f aca="false">H197+J197</f>
        <v>854281</v>
      </c>
      <c r="L197" s="4" t="n">
        <f aca="false">K197/D197*100</f>
        <v>50.1792996827526</v>
      </c>
      <c r="M197" s="4" t="n">
        <v>57.4976119195897</v>
      </c>
      <c r="N197" s="4" t="n">
        <v>41.321920068731</v>
      </c>
      <c r="O197" s="4" t="n">
        <v>2.85714285714286</v>
      </c>
    </row>
    <row r="198" customFormat="false" ht="15" hidden="false" customHeight="false" outlineLevel="0" collapsed="false">
      <c r="A198" s="1" t="str">
        <f aca="false">A197</f>
        <v>Madhya Pradesh</v>
      </c>
      <c r="B198" s="4" t="n">
        <v>2</v>
      </c>
      <c r="C198" s="4" t="s">
        <v>222</v>
      </c>
      <c r="D198" s="4" t="n">
        <v>1600137</v>
      </c>
      <c r="E198" s="4" t="n">
        <v>469662</v>
      </c>
      <c r="F198" s="4" t="n">
        <v>259501</v>
      </c>
      <c r="G198" s="4" t="n">
        <v>0</v>
      </c>
      <c r="H198" s="4" t="n">
        <f aca="false">E198+F198+G198</f>
        <v>729163</v>
      </c>
      <c r="I198" s="4" t="n">
        <v>0</v>
      </c>
      <c r="J198" s="4" t="n">
        <v>204</v>
      </c>
      <c r="K198" s="4" t="n">
        <f aca="false">H198+J198</f>
        <v>729367</v>
      </c>
      <c r="L198" s="4" t="n">
        <f aca="false">K198/D198*100</f>
        <v>45.5815345811015</v>
      </c>
      <c r="M198" s="4" t="n">
        <v>52.7320250870705</v>
      </c>
      <c r="N198" s="4" t="n">
        <v>36.6904623545996</v>
      </c>
      <c r="O198" s="4" t="n">
        <v>0</v>
      </c>
    </row>
    <row r="199" customFormat="false" ht="15" hidden="false" customHeight="false" outlineLevel="0" collapsed="false">
      <c r="A199" s="1" t="str">
        <f aca="false">A198</f>
        <v>Madhya Pradesh</v>
      </c>
      <c r="B199" s="4" t="n">
        <v>3</v>
      </c>
      <c r="C199" s="4" t="s">
        <v>223</v>
      </c>
      <c r="D199" s="4" t="n">
        <v>1876963</v>
      </c>
      <c r="E199" s="4" t="n">
        <v>594606</v>
      </c>
      <c r="F199" s="4" t="n">
        <v>395609</v>
      </c>
      <c r="G199" s="4" t="n">
        <v>15</v>
      </c>
      <c r="H199" s="4" t="n">
        <f aca="false">E199+F199+G199</f>
        <v>990230</v>
      </c>
      <c r="I199" s="4" t="n">
        <v>0</v>
      </c>
      <c r="J199" s="4" t="n">
        <v>841</v>
      </c>
      <c r="K199" s="4" t="n">
        <f aca="false">H199+J199</f>
        <v>991071</v>
      </c>
      <c r="L199" s="4" t="n">
        <f aca="false">K199/D199*100</f>
        <v>52.8018399936493</v>
      </c>
      <c r="M199" s="4" t="n">
        <v>58.2051726315109</v>
      </c>
      <c r="N199" s="4" t="n">
        <v>46.4344527350045</v>
      </c>
      <c r="O199" s="4" t="n">
        <v>12.5</v>
      </c>
    </row>
    <row r="200" customFormat="false" ht="15" hidden="false" customHeight="false" outlineLevel="0" collapsed="false">
      <c r="A200" s="1" t="str">
        <f aca="false">A199</f>
        <v>Madhya Pradesh</v>
      </c>
      <c r="B200" s="4" t="n">
        <v>4</v>
      </c>
      <c r="C200" s="4" t="s">
        <v>224</v>
      </c>
      <c r="D200" s="4" t="n">
        <v>1605613</v>
      </c>
      <c r="E200" s="4" t="n">
        <v>580802</v>
      </c>
      <c r="F200" s="4" t="n">
        <v>394613</v>
      </c>
      <c r="G200" s="4" t="n">
        <v>0</v>
      </c>
      <c r="H200" s="4" t="n">
        <f aca="false">E200+F200+G200</f>
        <v>975415</v>
      </c>
      <c r="I200" s="4" t="n">
        <v>0</v>
      </c>
      <c r="J200" s="4" t="n">
        <v>2204</v>
      </c>
      <c r="K200" s="4" t="n">
        <f aca="false">H200+J200</f>
        <v>977619</v>
      </c>
      <c r="L200" s="4" t="n">
        <f aca="false">K200/D200*100</f>
        <v>60.887586236534</v>
      </c>
      <c r="M200" s="4" t="n">
        <v>67.7525547104661</v>
      </c>
      <c r="N200" s="4" t="n">
        <v>52.7384042146567</v>
      </c>
      <c r="O200" s="4" t="n">
        <v>0</v>
      </c>
    </row>
    <row r="201" customFormat="false" ht="15" hidden="false" customHeight="false" outlineLevel="0" collapsed="false">
      <c r="A201" s="1" t="str">
        <f aca="false">A200</f>
        <v>Madhya Pradesh</v>
      </c>
      <c r="B201" s="4" t="n">
        <v>5</v>
      </c>
      <c r="C201" s="4" t="s">
        <v>225</v>
      </c>
      <c r="D201" s="4" t="n">
        <v>1520322</v>
      </c>
      <c r="E201" s="4" t="n">
        <v>536897</v>
      </c>
      <c r="F201" s="4" t="n">
        <v>354866</v>
      </c>
      <c r="G201" s="4" t="n">
        <v>9</v>
      </c>
      <c r="H201" s="4" t="n">
        <f aca="false">E201+F201+G201</f>
        <v>891772</v>
      </c>
      <c r="I201" s="4" t="n">
        <v>0</v>
      </c>
      <c r="J201" s="4" t="n">
        <v>228</v>
      </c>
      <c r="K201" s="4" t="n">
        <f aca="false">H201+J201</f>
        <v>892000</v>
      </c>
      <c r="L201" s="4" t="n">
        <f aca="false">K201/D201*100</f>
        <v>58.6717813726303</v>
      </c>
      <c r="M201" s="4" t="n">
        <v>65.8910000417267</v>
      </c>
      <c r="N201" s="4" t="n">
        <v>50.3769762684531</v>
      </c>
      <c r="O201" s="4" t="n">
        <v>15.7894736842105</v>
      </c>
    </row>
    <row r="202" customFormat="false" ht="15" hidden="false" customHeight="false" outlineLevel="0" collapsed="false">
      <c r="A202" s="1" t="str">
        <f aca="false">A201</f>
        <v>Madhya Pradesh</v>
      </c>
      <c r="B202" s="4" t="n">
        <v>6</v>
      </c>
      <c r="C202" s="4" t="s">
        <v>226</v>
      </c>
      <c r="D202" s="4" t="n">
        <v>1528863</v>
      </c>
      <c r="E202" s="4" t="n">
        <v>466852</v>
      </c>
      <c r="F202" s="4" t="n">
        <v>299542</v>
      </c>
      <c r="G202" s="4" t="n">
        <v>4</v>
      </c>
      <c r="H202" s="4" t="n">
        <f aca="false">E202+F202+G202</f>
        <v>766398</v>
      </c>
      <c r="I202" s="4" t="n">
        <v>0</v>
      </c>
      <c r="J202" s="4" t="n">
        <v>480</v>
      </c>
      <c r="K202" s="4" t="n">
        <f aca="false">H202+J202</f>
        <v>766878</v>
      </c>
      <c r="L202" s="4" t="n">
        <f aca="false">K202/D202*100</f>
        <v>50.1600208782605</v>
      </c>
      <c r="M202" s="4" t="n">
        <v>56.9093659603361</v>
      </c>
      <c r="N202" s="4" t="n">
        <v>42.3073555042697</v>
      </c>
      <c r="O202" s="4" t="n">
        <v>15.3846153846154</v>
      </c>
    </row>
    <row r="203" customFormat="false" ht="15" hidden="false" customHeight="false" outlineLevel="0" collapsed="false">
      <c r="A203" s="1" t="str">
        <f aca="false">A202</f>
        <v>Madhya Pradesh</v>
      </c>
      <c r="B203" s="4" t="n">
        <v>7</v>
      </c>
      <c r="C203" s="4" t="s">
        <v>227</v>
      </c>
      <c r="D203" s="4" t="n">
        <v>1651614</v>
      </c>
      <c r="E203" s="4" t="n">
        <v>558821</v>
      </c>
      <c r="F203" s="4" t="n">
        <v>354514</v>
      </c>
      <c r="G203" s="4" t="n">
        <v>1</v>
      </c>
      <c r="H203" s="4" t="n">
        <f aca="false">E203+F203+G203</f>
        <v>913336</v>
      </c>
      <c r="I203" s="4" t="n">
        <v>0</v>
      </c>
      <c r="J203" s="4" t="n">
        <v>532</v>
      </c>
      <c r="K203" s="4" t="n">
        <f aca="false">H203+J203</f>
        <v>913868</v>
      </c>
      <c r="L203" s="4" t="n">
        <f aca="false">K203/D203*100</f>
        <v>55.3318148187167</v>
      </c>
      <c r="M203" s="4" t="n">
        <v>63.3167531555213</v>
      </c>
      <c r="N203" s="4" t="n">
        <v>46.1217018431039</v>
      </c>
      <c r="O203" s="4" t="n">
        <v>2.77777777777778</v>
      </c>
    </row>
    <row r="204" customFormat="false" ht="15" hidden="false" customHeight="false" outlineLevel="0" collapsed="false">
      <c r="A204" s="1" t="str">
        <f aca="false">A203</f>
        <v>Madhya Pradesh</v>
      </c>
      <c r="B204" s="4" t="n">
        <v>8</v>
      </c>
      <c r="C204" s="4" t="s">
        <v>228</v>
      </c>
      <c r="D204" s="4" t="n">
        <v>1702833</v>
      </c>
      <c r="E204" s="4" t="n">
        <v>517233</v>
      </c>
      <c r="F204" s="4" t="n">
        <v>357041</v>
      </c>
      <c r="G204" s="4" t="n">
        <v>9</v>
      </c>
      <c r="H204" s="4" t="n">
        <f aca="false">E204+F204+G204</f>
        <v>874283</v>
      </c>
      <c r="I204" s="4" t="n">
        <v>0</v>
      </c>
      <c r="J204" s="4" t="n">
        <v>248</v>
      </c>
      <c r="K204" s="4" t="n">
        <f aca="false">H204+J204</f>
        <v>874531</v>
      </c>
      <c r="L204" s="4" t="n">
        <f aca="false">K204/D204*100</f>
        <v>51.3574143794488</v>
      </c>
      <c r="M204" s="4" t="n">
        <v>57.0286150273824</v>
      </c>
      <c r="N204" s="4" t="n">
        <v>44.8923524537706</v>
      </c>
      <c r="O204" s="4" t="n">
        <v>42.8571428571429</v>
      </c>
    </row>
    <row r="205" customFormat="false" ht="15" hidden="false" customHeight="false" outlineLevel="0" collapsed="false">
      <c r="A205" s="1" t="str">
        <f aca="false">A204</f>
        <v>Madhya Pradesh</v>
      </c>
      <c r="B205" s="4" t="n">
        <v>9</v>
      </c>
      <c r="C205" s="4" t="s">
        <v>229</v>
      </c>
      <c r="D205" s="4" t="n">
        <v>1458381</v>
      </c>
      <c r="E205" s="4" t="n">
        <v>499873</v>
      </c>
      <c r="F205" s="4" t="n">
        <v>413407</v>
      </c>
      <c r="G205" s="4" t="n">
        <v>0</v>
      </c>
      <c r="H205" s="4" t="n">
        <f aca="false">E205+F205+G205</f>
        <v>913280</v>
      </c>
      <c r="I205" s="4" t="n">
        <v>0</v>
      </c>
      <c r="J205" s="4" t="n">
        <v>171</v>
      </c>
      <c r="K205" s="4" t="n">
        <f aca="false">H205+J205</f>
        <v>913451</v>
      </c>
      <c r="L205" s="4" t="n">
        <f aca="false">K205/D205*100</f>
        <v>62.6345927435972</v>
      </c>
      <c r="M205" s="4" t="n">
        <v>64.8783805356941</v>
      </c>
      <c r="N205" s="4" t="n">
        <v>60.3122939291904</v>
      </c>
      <c r="O205" s="4" t="n">
        <v>0</v>
      </c>
    </row>
    <row r="206" customFormat="false" ht="15" hidden="false" customHeight="false" outlineLevel="0" collapsed="false">
      <c r="A206" s="1" t="str">
        <f aca="false">A205</f>
        <v>Madhya Pradesh</v>
      </c>
      <c r="B206" s="4" t="n">
        <v>10</v>
      </c>
      <c r="C206" s="4" t="s">
        <v>230</v>
      </c>
      <c r="D206" s="4" t="n">
        <v>1544719</v>
      </c>
      <c r="E206" s="4" t="n">
        <v>457628</v>
      </c>
      <c r="F206" s="4" t="n">
        <v>372259</v>
      </c>
      <c r="G206" s="4" t="n">
        <v>0</v>
      </c>
      <c r="H206" s="4" t="n">
        <f aca="false">E206+F206+G206</f>
        <v>829887</v>
      </c>
      <c r="I206" s="4" t="n">
        <v>0</v>
      </c>
      <c r="J206" s="4" t="n">
        <v>305</v>
      </c>
      <c r="K206" s="4" t="n">
        <f aca="false">H206+J206</f>
        <v>830192</v>
      </c>
      <c r="L206" s="4" t="n">
        <f aca="false">K206/D206*100</f>
        <v>53.7438848101176</v>
      </c>
      <c r="M206" s="4" t="n">
        <v>55.8524297249534</v>
      </c>
      <c r="N206" s="4" t="n">
        <v>51.5762055516685</v>
      </c>
      <c r="O206" s="4" t="n">
        <v>0</v>
      </c>
    </row>
    <row r="207" customFormat="false" ht="15" hidden="false" customHeight="false" outlineLevel="0" collapsed="false">
      <c r="A207" s="1" t="str">
        <f aca="false">A206</f>
        <v>Madhya Pradesh</v>
      </c>
      <c r="B207" s="4" t="n">
        <v>11</v>
      </c>
      <c r="C207" s="4" t="s">
        <v>231</v>
      </c>
      <c r="D207" s="4" t="n">
        <v>1736048</v>
      </c>
      <c r="E207" s="4" t="n">
        <v>547499</v>
      </c>
      <c r="F207" s="4" t="n">
        <v>441120</v>
      </c>
      <c r="G207" s="4" t="n">
        <v>0</v>
      </c>
      <c r="H207" s="4" t="n">
        <f aca="false">E207+F207+G207</f>
        <v>988619</v>
      </c>
      <c r="I207" s="4" t="n">
        <v>0</v>
      </c>
      <c r="J207" s="4" t="n">
        <v>957</v>
      </c>
      <c r="K207" s="4" t="n">
        <f aca="false">H207+J207</f>
        <v>989576</v>
      </c>
      <c r="L207" s="4" t="n">
        <f aca="false">K207/D207*100</f>
        <v>57.0016497239708</v>
      </c>
      <c r="M207" s="4" t="n">
        <v>59.8313136357725</v>
      </c>
      <c r="N207" s="4" t="n">
        <v>53.7911860107797</v>
      </c>
      <c r="O207" s="4" t="n">
        <v>0</v>
      </c>
    </row>
    <row r="208" customFormat="false" ht="15" hidden="false" customHeight="false" outlineLevel="0" collapsed="false">
      <c r="A208" s="1" t="str">
        <f aca="false">A207</f>
        <v>Madhya Pradesh</v>
      </c>
      <c r="B208" s="4" t="n">
        <v>12</v>
      </c>
      <c r="C208" s="4" t="s">
        <v>232</v>
      </c>
      <c r="D208" s="4" t="n">
        <v>1561016</v>
      </c>
      <c r="E208" s="4" t="n">
        <v>527809</v>
      </c>
      <c r="F208" s="4" t="n">
        <v>440179</v>
      </c>
      <c r="G208" s="4" t="n">
        <v>0</v>
      </c>
      <c r="H208" s="4" t="n">
        <f aca="false">E208+F208+G208</f>
        <v>967988</v>
      </c>
      <c r="I208" s="4" t="n">
        <v>0</v>
      </c>
      <c r="J208" s="4" t="n">
        <v>1128</v>
      </c>
      <c r="K208" s="4" t="n">
        <f aca="false">H208+J208</f>
        <v>969116</v>
      </c>
      <c r="L208" s="4" t="n">
        <f aca="false">K208/D208*100</f>
        <v>62.0823873682269</v>
      </c>
      <c r="M208" s="4" t="n">
        <v>65.4473918828266</v>
      </c>
      <c r="N208" s="4" t="n">
        <v>58.3671017667432</v>
      </c>
      <c r="O208" s="4" t="n">
        <v>0</v>
      </c>
    </row>
    <row r="209" customFormat="false" ht="15" hidden="false" customHeight="false" outlineLevel="0" collapsed="false">
      <c r="A209" s="1" t="str">
        <f aca="false">A208</f>
        <v>Madhya Pradesh</v>
      </c>
      <c r="B209" s="4" t="n">
        <v>13</v>
      </c>
      <c r="C209" s="4" t="s">
        <v>233</v>
      </c>
      <c r="D209" s="4" t="n">
        <v>1711621</v>
      </c>
      <c r="E209" s="4" t="n">
        <v>558905</v>
      </c>
      <c r="F209" s="4" t="n">
        <v>443227</v>
      </c>
      <c r="G209" s="4" t="n">
        <v>0</v>
      </c>
      <c r="H209" s="4" t="n">
        <f aca="false">E209+F209+G209</f>
        <v>1002132</v>
      </c>
      <c r="I209" s="4" t="n">
        <v>0</v>
      </c>
      <c r="J209" s="4" t="n">
        <v>78</v>
      </c>
      <c r="K209" s="4" t="n">
        <f aca="false">H209+J209</f>
        <v>1002210</v>
      </c>
      <c r="L209" s="4" t="n">
        <f aca="false">K209/D209*100</f>
        <v>58.5532661728268</v>
      </c>
      <c r="M209" s="4" t="n">
        <v>62.2940130739352</v>
      </c>
      <c r="N209" s="4" t="n">
        <v>54.4842261055986</v>
      </c>
      <c r="O209" s="4" t="n">
        <v>0</v>
      </c>
    </row>
    <row r="210" customFormat="false" ht="15" hidden="false" customHeight="false" outlineLevel="0" collapsed="false">
      <c r="A210" s="1" t="str">
        <f aca="false">A209</f>
        <v>Madhya Pradesh</v>
      </c>
      <c r="B210" s="4" t="n">
        <v>14</v>
      </c>
      <c r="C210" s="4" t="s">
        <v>234</v>
      </c>
      <c r="D210" s="4" t="n">
        <v>1824702</v>
      </c>
      <c r="E210" s="4" t="n">
        <v>641219</v>
      </c>
      <c r="F210" s="4" t="n">
        <v>575693</v>
      </c>
      <c r="G210" s="4" t="n">
        <v>2</v>
      </c>
      <c r="H210" s="4" t="n">
        <f aca="false">E210+F210+G210</f>
        <v>1216914</v>
      </c>
      <c r="I210" s="4" t="n">
        <v>0</v>
      </c>
      <c r="J210" s="4" t="n">
        <v>1747</v>
      </c>
      <c r="K210" s="4" t="n">
        <f aca="false">H210+J210</f>
        <v>1218661</v>
      </c>
      <c r="L210" s="4" t="n">
        <f aca="false">K210/D210*100</f>
        <v>66.7868506747951</v>
      </c>
      <c r="M210" s="4" t="n">
        <v>69.2589768293895</v>
      </c>
      <c r="N210" s="4" t="n">
        <v>64.0825190736029</v>
      </c>
      <c r="O210" s="4" t="n">
        <v>9.09090909090909</v>
      </c>
    </row>
    <row r="211" customFormat="false" ht="15" hidden="false" customHeight="false" outlineLevel="0" collapsed="false">
      <c r="A211" s="1" t="str">
        <f aca="false">A210</f>
        <v>Madhya Pradesh</v>
      </c>
      <c r="B211" s="4" t="n">
        <v>15</v>
      </c>
      <c r="C211" s="4" t="s">
        <v>235</v>
      </c>
      <c r="D211" s="4" t="n">
        <v>1629739</v>
      </c>
      <c r="E211" s="4" t="n">
        <v>570388</v>
      </c>
      <c r="F211" s="4" t="n">
        <v>540968</v>
      </c>
      <c r="G211" s="4" t="n">
        <v>0</v>
      </c>
      <c r="H211" s="4" t="n">
        <f aca="false">E211+F211+G211</f>
        <v>1111356</v>
      </c>
      <c r="I211" s="4" t="n">
        <v>0</v>
      </c>
      <c r="J211" s="4" t="n">
        <v>2025</v>
      </c>
      <c r="K211" s="4" t="n">
        <f aca="false">H211+J211</f>
        <v>1113381</v>
      </c>
      <c r="L211" s="4" t="n">
        <f aca="false">K211/D211*100</f>
        <v>68.3165218479769</v>
      </c>
      <c r="M211" s="4" t="n">
        <v>69.3583729136723</v>
      </c>
      <c r="N211" s="4" t="n">
        <v>67.0338671163943</v>
      </c>
      <c r="O211" s="4" t="n">
        <v>0</v>
      </c>
    </row>
    <row r="212" customFormat="false" ht="15" hidden="false" customHeight="false" outlineLevel="0" collapsed="false">
      <c r="A212" s="1" t="str">
        <f aca="false">A211</f>
        <v>Madhya Pradesh</v>
      </c>
      <c r="B212" s="4" t="n">
        <v>16</v>
      </c>
      <c r="C212" s="4" t="s">
        <v>236</v>
      </c>
      <c r="D212" s="4" t="n">
        <v>1402038</v>
      </c>
      <c r="E212" s="4" t="n">
        <v>584697</v>
      </c>
      <c r="F212" s="4" t="n">
        <v>522618</v>
      </c>
      <c r="G212" s="4" t="n">
        <v>0</v>
      </c>
      <c r="H212" s="4" t="n">
        <f aca="false">E212+F212+G212</f>
        <v>1107315</v>
      </c>
      <c r="I212" s="4" t="n">
        <v>0</v>
      </c>
      <c r="J212" s="4" t="n">
        <v>316</v>
      </c>
      <c r="K212" s="4" t="n">
        <f aca="false">H212+J212</f>
        <v>1107631</v>
      </c>
      <c r="L212" s="4" t="n">
        <f aca="false">K212/D212*100</f>
        <v>79.0014963931078</v>
      </c>
      <c r="M212" s="4" t="n">
        <v>81.0821267561297</v>
      </c>
      <c r="N212" s="4" t="n">
        <v>76.8914332122475</v>
      </c>
      <c r="O212" s="4" t="n">
        <v>0</v>
      </c>
    </row>
    <row r="213" customFormat="false" ht="15" hidden="false" customHeight="false" outlineLevel="0" collapsed="false">
      <c r="A213" s="1" t="str">
        <f aca="false">A212</f>
        <v>Madhya Pradesh</v>
      </c>
      <c r="B213" s="4" t="n">
        <v>17</v>
      </c>
      <c r="C213" s="4" t="s">
        <v>237</v>
      </c>
      <c r="D213" s="4" t="n">
        <v>1568206</v>
      </c>
      <c r="E213" s="4" t="n">
        <v>593375</v>
      </c>
      <c r="F213" s="4" t="n">
        <v>436990</v>
      </c>
      <c r="G213" s="4" t="n">
        <v>0</v>
      </c>
      <c r="H213" s="4" t="n">
        <f aca="false">E213+F213+G213</f>
        <v>1030365</v>
      </c>
      <c r="I213" s="4" t="n">
        <v>0</v>
      </c>
      <c r="J213" s="4" t="n">
        <v>1458</v>
      </c>
      <c r="K213" s="4" t="n">
        <f aca="false">H213+J213</f>
        <v>1031823</v>
      </c>
      <c r="L213" s="4" t="n">
        <f aca="false">K213/D213*100</f>
        <v>65.7963940961838</v>
      </c>
      <c r="M213" s="4" t="n">
        <v>71.0955696991191</v>
      </c>
      <c r="N213" s="4" t="n">
        <v>59.6724902159456</v>
      </c>
      <c r="O213" s="4" t="n">
        <v>0</v>
      </c>
    </row>
    <row r="214" customFormat="false" ht="15" hidden="false" customHeight="false" outlineLevel="0" collapsed="false">
      <c r="A214" s="1" t="str">
        <f aca="false">A213</f>
        <v>Madhya Pradesh</v>
      </c>
      <c r="B214" s="4" t="n">
        <v>18</v>
      </c>
      <c r="C214" s="4" t="s">
        <v>238</v>
      </c>
      <c r="D214" s="4" t="n">
        <v>1634039</v>
      </c>
      <c r="E214" s="4" t="n">
        <v>619102</v>
      </c>
      <c r="F214" s="4" t="n">
        <v>453345</v>
      </c>
      <c r="G214" s="4" t="n">
        <v>0</v>
      </c>
      <c r="H214" s="4" t="n">
        <f aca="false">E214+F214+G214</f>
        <v>1072447</v>
      </c>
      <c r="I214" s="4" t="n">
        <v>0</v>
      </c>
      <c r="J214" s="4" t="n">
        <v>1334</v>
      </c>
      <c r="K214" s="4" t="n">
        <f aca="false">H214+J214</f>
        <v>1073781</v>
      </c>
      <c r="L214" s="4" t="n">
        <f aca="false">K214/D214*100</f>
        <v>65.7133030484584</v>
      </c>
      <c r="M214" s="4" t="n">
        <v>71.0207406047814</v>
      </c>
      <c r="N214" s="4" t="n">
        <v>59.5100263062552</v>
      </c>
      <c r="O214" s="4" t="n">
        <v>0</v>
      </c>
    </row>
    <row r="215" customFormat="false" ht="15" hidden="false" customHeight="false" outlineLevel="0" collapsed="false">
      <c r="A215" s="1" t="str">
        <f aca="false">A214</f>
        <v>Madhya Pradesh</v>
      </c>
      <c r="B215" s="4" t="n">
        <v>19</v>
      </c>
      <c r="C215" s="4" t="s">
        <v>239</v>
      </c>
      <c r="D215" s="4" t="n">
        <v>1957241</v>
      </c>
      <c r="E215" s="4" t="n">
        <v>639634</v>
      </c>
      <c r="F215" s="4" t="n">
        <v>490428</v>
      </c>
      <c r="G215" s="4" t="n">
        <v>7</v>
      </c>
      <c r="H215" s="4" t="n">
        <f aca="false">E215+F215+G215</f>
        <v>1130069</v>
      </c>
      <c r="I215" s="4" t="n">
        <v>0</v>
      </c>
      <c r="J215" s="4" t="n">
        <v>212</v>
      </c>
      <c r="K215" s="4" t="n">
        <f aca="false">H215+J215</f>
        <v>1130281</v>
      </c>
      <c r="L215" s="4" t="n">
        <f aca="false">K215/D215*100</f>
        <v>57.7486880767366</v>
      </c>
      <c r="M215" s="4" t="n">
        <v>61.6281254426034</v>
      </c>
      <c r="N215" s="4" t="n">
        <v>53.4573624483469</v>
      </c>
      <c r="O215" s="4" t="n">
        <v>10.4477611940299</v>
      </c>
    </row>
    <row r="216" customFormat="false" ht="15" hidden="false" customHeight="false" outlineLevel="0" collapsed="false">
      <c r="A216" s="1" t="str">
        <f aca="false">A215</f>
        <v>Madhya Pradesh</v>
      </c>
      <c r="B216" s="4" t="n">
        <v>20</v>
      </c>
      <c r="C216" s="4" t="s">
        <v>240</v>
      </c>
      <c r="D216" s="4" t="n">
        <v>1578757</v>
      </c>
      <c r="E216" s="4" t="n">
        <v>597753</v>
      </c>
      <c r="F216" s="4" t="n">
        <v>412196</v>
      </c>
      <c r="G216" s="4" t="n">
        <v>3</v>
      </c>
      <c r="H216" s="4" t="n">
        <f aca="false">E216+F216+G216</f>
        <v>1009952</v>
      </c>
      <c r="I216" s="4" t="n">
        <v>0</v>
      </c>
      <c r="J216" s="4" t="n">
        <v>859</v>
      </c>
      <c r="K216" s="4" t="n">
        <f aca="false">H216+J216</f>
        <v>1010811</v>
      </c>
      <c r="L216" s="4" t="n">
        <f aca="false">K216/D216*100</f>
        <v>64.0257493711825</v>
      </c>
      <c r="M216" s="4" t="n">
        <v>72.2979567992395</v>
      </c>
      <c r="N216" s="4" t="n">
        <v>54.8379457788208</v>
      </c>
      <c r="O216" s="4" t="n">
        <v>15.7894736842105</v>
      </c>
    </row>
    <row r="217" customFormat="false" ht="15" hidden="false" customHeight="false" outlineLevel="0" collapsed="false">
      <c r="A217" s="4" t="str">
        <f aca="false">A216</f>
        <v>Madhya Pradesh</v>
      </c>
      <c r="B217" s="4" t="n">
        <v>21</v>
      </c>
      <c r="C217" s="4" t="s">
        <v>241</v>
      </c>
      <c r="D217" s="4" t="n">
        <v>1617111</v>
      </c>
      <c r="E217" s="4" t="n">
        <v>653540</v>
      </c>
      <c r="F217" s="4" t="n">
        <v>489442</v>
      </c>
      <c r="G217" s="4" t="n">
        <v>0</v>
      </c>
      <c r="H217" s="4" t="n">
        <f aca="false">E217+F217+G217</f>
        <v>1142982</v>
      </c>
      <c r="I217" s="4" t="n">
        <v>0</v>
      </c>
      <c r="J217" s="4" t="n">
        <v>1169</v>
      </c>
      <c r="K217" s="4" t="n">
        <f aca="false">H217+J217</f>
        <v>1144151</v>
      </c>
      <c r="L217" s="4" t="n">
        <f aca="false">K217/D217*100</f>
        <v>70.7527807305745</v>
      </c>
      <c r="M217" s="4" t="n">
        <v>77.5567844682316</v>
      </c>
      <c r="N217" s="4" t="n">
        <v>63.2746406039921</v>
      </c>
      <c r="O217" s="4" t="n">
        <v>0</v>
      </c>
    </row>
    <row r="218" customFormat="false" ht="15" hidden="false" customHeight="false" outlineLevel="0" collapsed="false">
      <c r="A218" s="1" t="str">
        <f aca="false">A217</f>
        <v>Madhya Pradesh</v>
      </c>
      <c r="B218" s="4" t="n">
        <v>22</v>
      </c>
      <c r="C218" s="4" t="s">
        <v>242</v>
      </c>
      <c r="D218" s="4" t="n">
        <v>1525481</v>
      </c>
      <c r="E218" s="4" t="n">
        <v>571019</v>
      </c>
      <c r="F218" s="4" t="n">
        <v>444831</v>
      </c>
      <c r="G218" s="4" t="n">
        <v>7</v>
      </c>
      <c r="H218" s="4" t="n">
        <f aca="false">E218+F218+G218</f>
        <v>1015857</v>
      </c>
      <c r="I218" s="4" t="n">
        <v>0</v>
      </c>
      <c r="J218" s="4" t="n">
        <v>558</v>
      </c>
      <c r="K218" s="4" t="n">
        <f aca="false">H218+J218</f>
        <v>1016415</v>
      </c>
      <c r="L218" s="4" t="n">
        <f aca="false">K218/D218*100</f>
        <v>66.6291484456378</v>
      </c>
      <c r="M218" s="4" t="n">
        <v>72.2134259388065</v>
      </c>
      <c r="N218" s="4" t="n">
        <v>60.5606094848078</v>
      </c>
      <c r="O218" s="4" t="n">
        <v>21.875</v>
      </c>
    </row>
    <row r="219" customFormat="false" ht="15" hidden="false" customHeight="false" outlineLevel="0" collapsed="false">
      <c r="A219" s="1" t="str">
        <f aca="false">A218</f>
        <v>Madhya Pradesh</v>
      </c>
      <c r="B219" s="4" t="n">
        <v>23</v>
      </c>
      <c r="C219" s="4" t="s">
        <v>243</v>
      </c>
      <c r="D219" s="4" t="n">
        <v>1626556</v>
      </c>
      <c r="E219" s="4" t="n">
        <v>639978</v>
      </c>
      <c r="F219" s="4" t="n">
        <v>520386</v>
      </c>
      <c r="G219" s="4" t="n">
        <v>10</v>
      </c>
      <c r="H219" s="4" t="n">
        <f aca="false">E219+F219+G219</f>
        <v>1160374</v>
      </c>
      <c r="I219" s="4" t="n">
        <v>0</v>
      </c>
      <c r="J219" s="4" t="n">
        <v>1225</v>
      </c>
      <c r="K219" s="4" t="n">
        <f aca="false">H219+J219</f>
        <v>1161599</v>
      </c>
      <c r="L219" s="4" t="n">
        <f aca="false">K219/D219*100</f>
        <v>71.4146331266799</v>
      </c>
      <c r="M219" s="4" t="n">
        <v>76.4338102250456</v>
      </c>
      <c r="N219" s="4" t="n">
        <v>66.0157939805271</v>
      </c>
      <c r="O219" s="4" t="n">
        <v>31.25</v>
      </c>
    </row>
    <row r="220" customFormat="false" ht="15" hidden="false" customHeight="false" outlineLevel="0" collapsed="false">
      <c r="A220" s="1" t="str">
        <f aca="false">A219</f>
        <v>Madhya Pradesh</v>
      </c>
      <c r="B220" s="4" t="n">
        <v>24</v>
      </c>
      <c r="C220" s="4" t="s">
        <v>244</v>
      </c>
      <c r="D220" s="4" t="n">
        <v>1702576</v>
      </c>
      <c r="E220" s="4" t="n">
        <v>569214</v>
      </c>
      <c r="F220" s="4" t="n">
        <v>511452</v>
      </c>
      <c r="G220" s="4" t="n">
        <v>0</v>
      </c>
      <c r="H220" s="4" t="n">
        <f aca="false">E220+F220+G220</f>
        <v>1080666</v>
      </c>
      <c r="I220" s="4" t="n">
        <v>0</v>
      </c>
      <c r="J220" s="4" t="n">
        <v>2465</v>
      </c>
      <c r="K220" s="4" t="n">
        <f aca="false">H220+J220</f>
        <v>1083131</v>
      </c>
      <c r="L220" s="4" t="n">
        <f aca="false">K220/D220*100</f>
        <v>63.6171894822904</v>
      </c>
      <c r="M220" s="4" t="n">
        <v>66.1293114565169</v>
      </c>
      <c r="N220" s="4" t="n">
        <v>60.7739874804531</v>
      </c>
      <c r="O220" s="4" t="n">
        <v>0</v>
      </c>
    </row>
    <row r="221" customFormat="false" ht="15" hidden="false" customHeight="false" outlineLevel="0" collapsed="false">
      <c r="A221" s="1" t="str">
        <f aca="false">A220</f>
        <v>Madhya Pradesh</v>
      </c>
      <c r="B221" s="4" t="n">
        <v>25</v>
      </c>
      <c r="C221" s="4" t="s">
        <v>245</v>
      </c>
      <c r="D221" s="4" t="n">
        <v>1668441</v>
      </c>
      <c r="E221" s="4" t="n">
        <v>586698</v>
      </c>
      <c r="F221" s="4" t="n">
        <v>489232</v>
      </c>
      <c r="G221" s="4" t="n">
        <v>0</v>
      </c>
      <c r="H221" s="4" t="n">
        <f aca="false">E221+F221+G221</f>
        <v>1075930</v>
      </c>
      <c r="I221" s="4" t="n">
        <v>0</v>
      </c>
      <c r="J221" s="4" t="n">
        <v>1122</v>
      </c>
      <c r="K221" s="4" t="n">
        <f aca="false">H221+J221</f>
        <v>1077052</v>
      </c>
      <c r="L221" s="4" t="n">
        <f aca="false">K221/D221*100</f>
        <v>64.5543953906671</v>
      </c>
      <c r="M221" s="4" t="n">
        <v>68.4460123966219</v>
      </c>
      <c r="N221" s="4" t="n">
        <v>60.409378893415</v>
      </c>
      <c r="O221" s="4" t="n">
        <v>0</v>
      </c>
    </row>
    <row r="222" customFormat="false" ht="15" hidden="false" customHeight="false" outlineLevel="0" collapsed="false">
      <c r="A222" s="1" t="str">
        <f aca="false">A221</f>
        <v>Madhya Pradesh</v>
      </c>
      <c r="B222" s="4" t="n">
        <v>26</v>
      </c>
      <c r="C222" s="4" t="s">
        <v>246</v>
      </c>
      <c r="D222" s="4" t="n">
        <v>2115302</v>
      </c>
      <c r="E222" s="4" t="n">
        <v>736204</v>
      </c>
      <c r="F222" s="4" t="n">
        <v>579670</v>
      </c>
      <c r="G222" s="4" t="n">
        <v>22</v>
      </c>
      <c r="H222" s="4" t="n">
        <f aca="false">E222+F222+G222</f>
        <v>1315896</v>
      </c>
      <c r="I222" s="4" t="n">
        <v>0</v>
      </c>
      <c r="J222" s="4" t="n">
        <v>1120</v>
      </c>
      <c r="K222" s="4" t="n">
        <f aca="false">H222+J222</f>
        <v>1317016</v>
      </c>
      <c r="L222" s="4" t="n">
        <f aca="false">K222/D222*100</f>
        <v>62.261369771314</v>
      </c>
      <c r="M222" s="4" t="n">
        <v>66.588157828091</v>
      </c>
      <c r="N222" s="4" t="n">
        <v>57.483506229107</v>
      </c>
      <c r="O222" s="4" t="n">
        <v>30.1369863013699</v>
      </c>
    </row>
    <row r="223" customFormat="false" ht="15" hidden="false" customHeight="false" outlineLevel="0" collapsed="false">
      <c r="A223" s="1" t="str">
        <f aca="false">A222</f>
        <v>Madhya Pradesh</v>
      </c>
      <c r="B223" s="4" t="n">
        <v>27</v>
      </c>
      <c r="C223" s="4" t="s">
        <v>247</v>
      </c>
      <c r="D223" s="4" t="n">
        <v>1703272</v>
      </c>
      <c r="E223" s="4" t="n">
        <v>613926</v>
      </c>
      <c r="F223" s="4" t="n">
        <v>537792</v>
      </c>
      <c r="G223" s="4" t="n">
        <v>4</v>
      </c>
      <c r="H223" s="4" t="n">
        <f aca="false">E223+F223+G223</f>
        <v>1151722</v>
      </c>
      <c r="I223" s="4" t="n">
        <v>0</v>
      </c>
      <c r="J223" s="4" t="n">
        <v>952</v>
      </c>
      <c r="K223" s="4" t="n">
        <f aca="false">H223+J223</f>
        <v>1152674</v>
      </c>
      <c r="L223" s="4" t="n">
        <f aca="false">K223/D223*100</f>
        <v>67.6741002024339</v>
      </c>
      <c r="M223" s="4" t="n">
        <v>70.8269640988605</v>
      </c>
      <c r="N223" s="4" t="n">
        <v>64.3050337552642</v>
      </c>
      <c r="O223" s="4" t="n">
        <v>15.3846153846154</v>
      </c>
    </row>
    <row r="224" customFormat="false" ht="15" hidden="false" customHeight="false" outlineLevel="0" collapsed="false">
      <c r="A224" s="1" t="str">
        <f aca="false">A223</f>
        <v>Madhya Pradesh</v>
      </c>
      <c r="B224" s="4" t="n">
        <v>28</v>
      </c>
      <c r="C224" s="4" t="s">
        <v>248</v>
      </c>
      <c r="D224" s="4" t="n">
        <v>1759417</v>
      </c>
      <c r="E224" s="4" t="n">
        <v>677300</v>
      </c>
      <c r="F224" s="4" t="n">
        <v>578287</v>
      </c>
      <c r="G224" s="4" t="n">
        <v>9</v>
      </c>
      <c r="H224" s="4" t="n">
        <f aca="false">E224+F224+G224</f>
        <v>1255596</v>
      </c>
      <c r="I224" s="4" t="n">
        <v>0</v>
      </c>
      <c r="J224" s="4" t="n">
        <v>2115</v>
      </c>
      <c r="K224" s="4" t="n">
        <f aca="false">H224+J224</f>
        <v>1257711</v>
      </c>
      <c r="L224" s="4" t="n">
        <f aca="false">K224/D224*100</f>
        <v>71.4845315237945</v>
      </c>
      <c r="M224" s="4" t="n">
        <v>74.2282367588136</v>
      </c>
      <c r="N224" s="4" t="n">
        <v>68.3108657235468</v>
      </c>
      <c r="O224" s="4" t="n">
        <v>20.9302325581395</v>
      </c>
    </row>
    <row r="225" customFormat="false" ht="15" hidden="false" customHeight="false" outlineLevel="0" collapsed="false">
      <c r="A225" s="1" t="str">
        <f aca="false">A224</f>
        <v>Madhya Pradesh</v>
      </c>
      <c r="B225" s="4" t="n">
        <v>29</v>
      </c>
      <c r="C225" s="4" t="s">
        <v>249</v>
      </c>
      <c r="D225" s="4" t="n">
        <v>1607831</v>
      </c>
      <c r="E225" s="4" t="n">
        <v>573928</v>
      </c>
      <c r="F225" s="4" t="n">
        <v>473282</v>
      </c>
      <c r="G225" s="4" t="n">
        <v>21</v>
      </c>
      <c r="H225" s="4" t="n">
        <f aca="false">E225+F225+G225</f>
        <v>1047231</v>
      </c>
      <c r="I225" s="4" t="n">
        <v>0</v>
      </c>
      <c r="J225" s="4" t="n">
        <v>596</v>
      </c>
      <c r="K225" s="4" t="n">
        <f aca="false">H225+J225</f>
        <v>1047827</v>
      </c>
      <c r="L225" s="4" t="n">
        <f aca="false">K225/D225*100</f>
        <v>65.1702200044656</v>
      </c>
      <c r="M225" s="4" t="n">
        <v>68.6535634353577</v>
      </c>
      <c r="N225" s="4" t="n">
        <v>61.4052250269866</v>
      </c>
      <c r="O225" s="4" t="n">
        <v>67.741935483871</v>
      </c>
    </row>
    <row r="226" customFormat="false" ht="15" hidden="false" customHeight="false" outlineLevel="0" collapsed="false">
      <c r="A226" s="4" t="s">
        <v>250</v>
      </c>
      <c r="B226" s="4" t="n">
        <v>1</v>
      </c>
      <c r="C226" s="4" t="s">
        <v>251</v>
      </c>
      <c r="D226" s="4" t="n">
        <v>1672943</v>
      </c>
      <c r="E226" s="4" t="n">
        <v>583431</v>
      </c>
      <c r="F226" s="4" t="n">
        <v>530953</v>
      </c>
      <c r="G226" s="4" t="n">
        <v>0</v>
      </c>
      <c r="H226" s="4" t="n">
        <f aca="false">E226+F226+G226</f>
        <v>1114384</v>
      </c>
      <c r="I226" s="4" t="n">
        <v>0</v>
      </c>
      <c r="J226" s="4" t="n">
        <v>2640</v>
      </c>
      <c r="K226" s="4" t="n">
        <f aca="false">H226+J226</f>
        <v>1117024</v>
      </c>
      <c r="L226" s="4" t="n">
        <f aca="false">K226/D226*100</f>
        <v>66.7699975432516</v>
      </c>
      <c r="M226" s="4" t="n">
        <v>68.5050742020593</v>
      </c>
      <c r="N226" s="4" t="n">
        <v>64.7244760632332</v>
      </c>
      <c r="O226" s="4" t="n">
        <v>0</v>
      </c>
    </row>
    <row r="227" customFormat="false" ht="15" hidden="false" customHeight="false" outlineLevel="0" collapsed="false">
      <c r="A227" s="1" t="str">
        <f aca="false">A226</f>
        <v>Maharashtra</v>
      </c>
      <c r="B227" s="4" t="n">
        <v>2</v>
      </c>
      <c r="C227" s="4" t="s">
        <v>252</v>
      </c>
      <c r="D227" s="4" t="n">
        <v>1675367</v>
      </c>
      <c r="E227" s="4" t="n">
        <v>540775</v>
      </c>
      <c r="F227" s="4" t="n">
        <v>438455</v>
      </c>
      <c r="G227" s="4" t="n">
        <v>0</v>
      </c>
      <c r="H227" s="4" t="n">
        <f aca="false">E227+F227+G227</f>
        <v>979230</v>
      </c>
      <c r="I227" s="4" t="n">
        <v>0</v>
      </c>
      <c r="J227" s="4" t="n">
        <v>3886</v>
      </c>
      <c r="K227" s="4" t="n">
        <f aca="false">H227+J227</f>
        <v>983116</v>
      </c>
      <c r="L227" s="4" t="n">
        <f aca="false">K227/D227*100</f>
        <v>58.6806353473597</v>
      </c>
      <c r="M227" s="4" t="n">
        <v>61.6794277964895</v>
      </c>
      <c r="N227" s="4" t="n">
        <v>55.1332639224207</v>
      </c>
      <c r="O227" s="4" t="n">
        <v>0</v>
      </c>
    </row>
    <row r="228" customFormat="false" ht="15" hidden="false" customHeight="false" outlineLevel="0" collapsed="false">
      <c r="A228" s="1" t="str">
        <f aca="false">A227</f>
        <v>Maharashtra</v>
      </c>
      <c r="B228" s="4" t="n">
        <v>3</v>
      </c>
      <c r="C228" s="4" t="s">
        <v>253</v>
      </c>
      <c r="D228" s="4" t="n">
        <v>1707969</v>
      </c>
      <c r="E228" s="4" t="n">
        <v>550503</v>
      </c>
      <c r="F228" s="4" t="n">
        <v>439312</v>
      </c>
      <c r="G228" s="4" t="n">
        <v>6</v>
      </c>
      <c r="H228" s="4" t="n">
        <f aca="false">E228+F228+G228</f>
        <v>989821</v>
      </c>
      <c r="I228" s="4" t="n">
        <v>0</v>
      </c>
      <c r="J228" s="4" t="n">
        <v>783</v>
      </c>
      <c r="K228" s="4" t="n">
        <f aca="false">H228+J228</f>
        <v>990604</v>
      </c>
      <c r="L228" s="4" t="n">
        <f aca="false">K228/D228*100</f>
        <v>57.9989449457221</v>
      </c>
      <c r="M228" s="4" t="n">
        <v>60.8064851060822</v>
      </c>
      <c r="N228" s="4" t="n">
        <v>55.0737137699328</v>
      </c>
      <c r="O228" s="4" t="n">
        <v>24</v>
      </c>
    </row>
    <row r="229" customFormat="false" ht="15" hidden="false" customHeight="false" outlineLevel="0" collapsed="false">
      <c r="A229" s="1" t="str">
        <f aca="false">A228</f>
        <v>Maharashtra</v>
      </c>
      <c r="B229" s="4" t="n">
        <v>4</v>
      </c>
      <c r="C229" s="4" t="s">
        <v>254</v>
      </c>
      <c r="D229" s="4" t="n">
        <v>1593389</v>
      </c>
      <c r="E229" s="4" t="n">
        <v>555229</v>
      </c>
      <c r="F229" s="4" t="n">
        <v>455617</v>
      </c>
      <c r="G229" s="4" t="n">
        <v>0</v>
      </c>
      <c r="H229" s="4" t="n">
        <f aca="false">E229+F229+G229</f>
        <v>1010846</v>
      </c>
      <c r="I229" s="4" t="n">
        <v>0</v>
      </c>
      <c r="J229" s="4" t="n">
        <v>571</v>
      </c>
      <c r="K229" s="4" t="n">
        <f aca="false">H229+J229</f>
        <v>1011417</v>
      </c>
      <c r="L229" s="4" t="n">
        <f aca="false">K229/D229*100</f>
        <v>63.4758367228593</v>
      </c>
      <c r="M229" s="4" t="n">
        <v>65.9893367182003</v>
      </c>
      <c r="N229" s="4" t="n">
        <v>60.7430210126214</v>
      </c>
      <c r="O229" s="4" t="n">
        <v>0</v>
      </c>
    </row>
    <row r="230" customFormat="false" ht="15" hidden="false" customHeight="false" outlineLevel="0" collapsed="false">
      <c r="A230" s="1" t="str">
        <f aca="false">A229</f>
        <v>Maharashtra</v>
      </c>
      <c r="B230" s="4" t="n">
        <v>5</v>
      </c>
      <c r="C230" s="4" t="s">
        <v>255</v>
      </c>
      <c r="D230" s="4" t="n">
        <v>1595435</v>
      </c>
      <c r="E230" s="4" t="n">
        <v>535827</v>
      </c>
      <c r="F230" s="4" t="n">
        <v>442565</v>
      </c>
      <c r="G230" s="4" t="n">
        <v>0</v>
      </c>
      <c r="H230" s="4" t="n">
        <f aca="false">E230+F230+G230</f>
        <v>978392</v>
      </c>
      <c r="I230" s="4" t="n">
        <v>0</v>
      </c>
      <c r="J230" s="4" t="n">
        <v>484</v>
      </c>
      <c r="K230" s="4" t="n">
        <f aca="false">H230+J230</f>
        <v>978876</v>
      </c>
      <c r="L230" s="4" t="n">
        <f aca="false">K230/D230*100</f>
        <v>61.3548029220871</v>
      </c>
      <c r="M230" s="4" t="n">
        <v>63.6236585441152</v>
      </c>
      <c r="N230" s="4" t="n">
        <v>59.0408636176261</v>
      </c>
      <c r="O230" s="4" t="n">
        <v>0</v>
      </c>
    </row>
    <row r="231" customFormat="false" ht="15" hidden="false" customHeight="false" outlineLevel="0" collapsed="false">
      <c r="A231" s="1" t="str">
        <f aca="false">A230</f>
        <v>Maharashtra</v>
      </c>
      <c r="B231" s="4" t="n">
        <v>6</v>
      </c>
      <c r="C231" s="4" t="s">
        <v>256</v>
      </c>
      <c r="D231" s="4" t="n">
        <v>1672643</v>
      </c>
      <c r="E231" s="4" t="n">
        <v>543956</v>
      </c>
      <c r="F231" s="4" t="n">
        <v>433633</v>
      </c>
      <c r="G231" s="4" t="n">
        <v>0</v>
      </c>
      <c r="H231" s="4" t="n">
        <f aca="false">E231+F231+G231</f>
        <v>977589</v>
      </c>
      <c r="I231" s="4" t="n">
        <v>0</v>
      </c>
      <c r="J231" s="4" t="n">
        <v>1041</v>
      </c>
      <c r="K231" s="4" t="n">
        <f aca="false">H231+J231</f>
        <v>978630</v>
      </c>
      <c r="L231" s="4" t="n">
        <f aca="false">K231/D231*100</f>
        <v>58.5080020064054</v>
      </c>
      <c r="M231" s="4" t="n">
        <v>61.8015940193032</v>
      </c>
      <c r="N231" s="4" t="n">
        <v>54.9127743530258</v>
      </c>
      <c r="O231" s="4" t="n">
        <v>0</v>
      </c>
    </row>
    <row r="232" customFormat="false" ht="15" hidden="false" customHeight="false" outlineLevel="0" collapsed="false">
      <c r="A232" s="1" t="str">
        <f aca="false">A231</f>
        <v>Maharashtra</v>
      </c>
      <c r="B232" s="4" t="n">
        <v>7</v>
      </c>
      <c r="C232" s="4" t="s">
        <v>257</v>
      </c>
      <c r="D232" s="4" t="n">
        <v>1612739</v>
      </c>
      <c r="E232" s="4" t="n">
        <v>554649</v>
      </c>
      <c r="F232" s="4" t="n">
        <v>446414</v>
      </c>
      <c r="G232" s="4" t="n">
        <v>0</v>
      </c>
      <c r="H232" s="4" t="n">
        <f aca="false">E232+F232+G232</f>
        <v>1001063</v>
      </c>
      <c r="I232" s="4" t="n">
        <v>0</v>
      </c>
      <c r="J232" s="4" t="n">
        <v>3479</v>
      </c>
      <c r="K232" s="4" t="n">
        <f aca="false">H232+J232</f>
        <v>1004542</v>
      </c>
      <c r="L232" s="4" t="n">
        <f aca="false">K232/D232*100</f>
        <v>62.2879461586779</v>
      </c>
      <c r="M232" s="4" t="n">
        <v>65.5277316364891</v>
      </c>
      <c r="N232" s="4" t="n">
        <v>58.4457632732791</v>
      </c>
      <c r="O232" s="4" t="n">
        <v>0</v>
      </c>
    </row>
    <row r="233" customFormat="false" ht="15" hidden="false" customHeight="false" outlineLevel="0" collapsed="false">
      <c r="A233" s="1" t="str">
        <f aca="false">A232</f>
        <v>Maharashtra</v>
      </c>
      <c r="B233" s="4" t="n">
        <v>8</v>
      </c>
      <c r="C233" s="4" t="s">
        <v>258</v>
      </c>
      <c r="D233" s="4" t="n">
        <v>1564552</v>
      </c>
      <c r="E233" s="4" t="n">
        <v>553504</v>
      </c>
      <c r="F233" s="4" t="n">
        <v>458674</v>
      </c>
      <c r="G233" s="4" t="n">
        <v>0</v>
      </c>
      <c r="H233" s="4" t="n">
        <f aca="false">E233+F233+G233</f>
        <v>1012178</v>
      </c>
      <c r="I233" s="4" t="n">
        <v>0</v>
      </c>
      <c r="J233" s="4" t="n">
        <v>1430</v>
      </c>
      <c r="K233" s="4" t="n">
        <f aca="false">H233+J233</f>
        <v>1013608</v>
      </c>
      <c r="L233" s="4" t="n">
        <f aca="false">K233/D233*100</f>
        <v>64.7858300650921</v>
      </c>
      <c r="M233" s="4" t="n">
        <v>67.8154990682328</v>
      </c>
      <c r="N233" s="4" t="n">
        <v>61.4426924328908</v>
      </c>
      <c r="O233" s="4" t="n">
        <v>0</v>
      </c>
    </row>
    <row r="234" customFormat="false" ht="15" hidden="false" customHeight="false" outlineLevel="0" collapsed="false">
      <c r="A234" s="1" t="str">
        <f aca="false">A233</f>
        <v>Maharashtra</v>
      </c>
      <c r="B234" s="4" t="n">
        <v>9</v>
      </c>
      <c r="C234" s="4" t="s">
        <v>259</v>
      </c>
      <c r="D234" s="4" t="n">
        <v>1677266</v>
      </c>
      <c r="E234" s="4" t="n">
        <v>576271</v>
      </c>
      <c r="F234" s="4" t="n">
        <v>473007</v>
      </c>
      <c r="G234" s="4" t="n">
        <v>0</v>
      </c>
      <c r="H234" s="4" t="n">
        <f aca="false">E234+F234+G234</f>
        <v>1049278</v>
      </c>
      <c r="I234" s="4" t="n">
        <v>0</v>
      </c>
      <c r="J234" s="4" t="n">
        <v>1362</v>
      </c>
      <c r="K234" s="4" t="n">
        <f aca="false">H234+J234</f>
        <v>1050640</v>
      </c>
      <c r="L234" s="4" t="n">
        <f aca="false">K234/D234*100</f>
        <v>62.6400344369945</v>
      </c>
      <c r="M234" s="4" t="n">
        <v>65.0571465987501</v>
      </c>
      <c r="N234" s="4" t="n">
        <v>59.9038007322593</v>
      </c>
      <c r="O234" s="4" t="n">
        <v>0</v>
      </c>
    </row>
    <row r="235" customFormat="false" ht="15" hidden="false" customHeight="false" outlineLevel="0" collapsed="false">
      <c r="A235" s="1" t="str">
        <f aca="false">A234</f>
        <v>Maharashtra</v>
      </c>
      <c r="B235" s="4" t="n">
        <v>10</v>
      </c>
      <c r="C235" s="4" t="s">
        <v>260</v>
      </c>
      <c r="D235" s="4" t="n">
        <v>1900784</v>
      </c>
      <c r="E235" s="4" t="n">
        <v>578754</v>
      </c>
      <c r="F235" s="4" t="n">
        <v>504850</v>
      </c>
      <c r="G235" s="4" t="n">
        <v>0</v>
      </c>
      <c r="H235" s="4" t="n">
        <f aca="false">E235+F235+G235</f>
        <v>1083604</v>
      </c>
      <c r="I235" s="4" t="n">
        <v>0</v>
      </c>
      <c r="J235" s="4" t="n">
        <v>2161</v>
      </c>
      <c r="K235" s="4" t="n">
        <f aca="false">H235+J235</f>
        <v>1085765</v>
      </c>
      <c r="L235" s="4" t="n">
        <f aca="false">K235/D235*100</f>
        <v>57.1219559928956</v>
      </c>
      <c r="M235" s="4" t="n">
        <v>59.0818514057045</v>
      </c>
      <c r="N235" s="4" t="n">
        <v>54.8880657460852</v>
      </c>
      <c r="O235" s="4" t="n">
        <v>0</v>
      </c>
    </row>
    <row r="236" customFormat="false" ht="15" hidden="false" customHeight="false" outlineLevel="0" collapsed="false">
      <c r="A236" s="1" t="str">
        <f aca="false">A235</f>
        <v>Maharashtra</v>
      </c>
      <c r="B236" s="4" t="n">
        <v>11</v>
      </c>
      <c r="C236" s="4" t="s">
        <v>261</v>
      </c>
      <c r="D236" s="4" t="n">
        <v>1655852</v>
      </c>
      <c r="E236" s="4" t="n">
        <v>615597</v>
      </c>
      <c r="F236" s="4" t="n">
        <v>580693</v>
      </c>
      <c r="G236" s="4" t="n">
        <v>1</v>
      </c>
      <c r="H236" s="4" t="n">
        <f aca="false">E236+F236+G236</f>
        <v>1196291</v>
      </c>
      <c r="I236" s="4" t="n">
        <v>0</v>
      </c>
      <c r="J236" s="4" t="n">
        <v>1107</v>
      </c>
      <c r="K236" s="4" t="n">
        <f aca="false">H236+J236</f>
        <v>1197398</v>
      </c>
      <c r="L236" s="4" t="n">
        <f aca="false">K236/D236*100</f>
        <v>72.3131052775248</v>
      </c>
      <c r="M236" s="4" t="n">
        <v>73.4035018267497</v>
      </c>
      <c r="N236" s="4" t="n">
        <v>71.3667004639445</v>
      </c>
      <c r="O236" s="4" t="n">
        <v>33.3333333333333</v>
      </c>
    </row>
    <row r="237" customFormat="false" ht="15" hidden="false" customHeight="false" outlineLevel="0" collapsed="false">
      <c r="A237" s="1" t="str">
        <f aca="false">A236</f>
        <v>Maharashtra</v>
      </c>
      <c r="B237" s="4" t="n">
        <v>12</v>
      </c>
      <c r="C237" s="4" t="s">
        <v>262</v>
      </c>
      <c r="D237" s="4" t="n">
        <v>1468437</v>
      </c>
      <c r="E237" s="4" t="n">
        <v>537674</v>
      </c>
      <c r="F237" s="4" t="n">
        <v>489980</v>
      </c>
      <c r="G237" s="4" t="n">
        <v>0</v>
      </c>
      <c r="H237" s="4" t="n">
        <f aca="false">E237+F237+G237</f>
        <v>1027654</v>
      </c>
      <c r="I237" s="4" t="n">
        <v>0</v>
      </c>
      <c r="J237" s="4" t="n">
        <v>808</v>
      </c>
      <c r="K237" s="4" t="n">
        <f aca="false">H237+J237</f>
        <v>1028462</v>
      </c>
      <c r="L237" s="4" t="n">
        <f aca="false">K237/D237*100</f>
        <v>70.0378701980405</v>
      </c>
      <c r="M237" s="4" t="n">
        <v>71.4808566418459</v>
      </c>
      <c r="N237" s="4" t="n">
        <v>68.4754233071905</v>
      </c>
      <c r="O237" s="4" t="n">
        <v>0</v>
      </c>
    </row>
    <row r="238" customFormat="false" ht="15" hidden="false" customHeight="false" outlineLevel="0" collapsed="false">
      <c r="A238" s="1" t="str">
        <f aca="false">A237</f>
        <v>Maharashtra</v>
      </c>
      <c r="B238" s="4" t="n">
        <v>13</v>
      </c>
      <c r="C238" s="4" t="s">
        <v>263</v>
      </c>
      <c r="D238" s="4" t="n">
        <v>1753690</v>
      </c>
      <c r="E238" s="4" t="n">
        <v>602269</v>
      </c>
      <c r="F238" s="4" t="n">
        <v>506480</v>
      </c>
      <c r="G238" s="4" t="n">
        <v>0</v>
      </c>
      <c r="H238" s="4" t="n">
        <f aca="false">E238+F238+G238</f>
        <v>1108749</v>
      </c>
      <c r="I238" s="4" t="n">
        <v>0</v>
      </c>
      <c r="J238" s="4" t="n">
        <v>1139</v>
      </c>
      <c r="K238" s="4" t="n">
        <f aca="false">H238+J238</f>
        <v>1109888</v>
      </c>
      <c r="L238" s="4" t="n">
        <f aca="false">K238/D238*100</f>
        <v>63.2887226362698</v>
      </c>
      <c r="M238" s="4" t="n">
        <v>65.4443884226037</v>
      </c>
      <c r="N238" s="4" t="n">
        <v>60.8502064663557</v>
      </c>
      <c r="O238" s="4" t="n">
        <v>0</v>
      </c>
    </row>
    <row r="239" customFormat="false" ht="15" hidden="false" customHeight="false" outlineLevel="0" collapsed="false">
      <c r="A239" s="1" t="str">
        <f aca="false">A238</f>
        <v>Maharashtra</v>
      </c>
      <c r="B239" s="4" t="n">
        <v>14</v>
      </c>
      <c r="C239" s="4" t="s">
        <v>264</v>
      </c>
      <c r="D239" s="4" t="n">
        <v>1755292</v>
      </c>
      <c r="E239" s="4" t="n">
        <v>564176</v>
      </c>
      <c r="F239" s="4" t="n">
        <v>467163</v>
      </c>
      <c r="G239" s="4" t="n">
        <v>0</v>
      </c>
      <c r="H239" s="4" t="n">
        <f aca="false">E239+F239+G239</f>
        <v>1031339</v>
      </c>
      <c r="I239" s="4" t="n">
        <v>0</v>
      </c>
      <c r="J239" s="4" t="n">
        <v>2063</v>
      </c>
      <c r="K239" s="4" t="n">
        <f aca="false">H239+J239</f>
        <v>1033402</v>
      </c>
      <c r="L239" s="4" t="n">
        <f aca="false">K239/D239*100</f>
        <v>58.8735093648236</v>
      </c>
      <c r="M239" s="4" t="n">
        <v>61.2890364871045</v>
      </c>
      <c r="N239" s="4" t="n">
        <v>56.0338964754143</v>
      </c>
      <c r="O239" s="4" t="n">
        <v>0</v>
      </c>
    </row>
    <row r="240" customFormat="false" ht="15" hidden="false" customHeight="false" outlineLevel="0" collapsed="false">
      <c r="A240" s="1" t="str">
        <f aca="false">A239</f>
        <v>Maharashtra</v>
      </c>
      <c r="B240" s="4" t="n">
        <v>15</v>
      </c>
      <c r="C240" s="4" t="s">
        <v>265</v>
      </c>
      <c r="D240" s="4" t="n">
        <v>1586194</v>
      </c>
      <c r="E240" s="4" t="n">
        <v>575663</v>
      </c>
      <c r="F240" s="4" t="n">
        <v>473420</v>
      </c>
      <c r="G240" s="4" t="n">
        <v>2</v>
      </c>
      <c r="H240" s="4" t="n">
        <f aca="false">E240+F240+G240</f>
        <v>1049085</v>
      </c>
      <c r="I240" s="4" t="n">
        <v>0</v>
      </c>
      <c r="J240" s="4" t="n">
        <v>2392</v>
      </c>
      <c r="K240" s="4" t="n">
        <f aca="false">H240+J240</f>
        <v>1051477</v>
      </c>
      <c r="L240" s="4" t="n">
        <f aca="false">K240/D240*100</f>
        <v>66.2893063521864</v>
      </c>
      <c r="M240" s="4" t="n">
        <v>68.6178987770282</v>
      </c>
      <c r="N240" s="4" t="n">
        <v>63.4257572184948</v>
      </c>
      <c r="O240" s="4" t="n">
        <v>20</v>
      </c>
    </row>
    <row r="241" customFormat="false" ht="15" hidden="false" customHeight="false" outlineLevel="0" collapsed="false">
      <c r="A241" s="1" t="str">
        <f aca="false">A240</f>
        <v>Maharashtra</v>
      </c>
      <c r="B241" s="4" t="n">
        <v>16</v>
      </c>
      <c r="C241" s="4" t="s">
        <v>266</v>
      </c>
      <c r="D241" s="4" t="n">
        <v>1687057</v>
      </c>
      <c r="E241" s="4" t="n">
        <v>548032</v>
      </c>
      <c r="F241" s="4" t="n">
        <v>462233</v>
      </c>
      <c r="G241" s="4" t="n">
        <v>0</v>
      </c>
      <c r="H241" s="4" t="n">
        <f aca="false">E241+F241+G241</f>
        <v>1010265</v>
      </c>
      <c r="I241" s="4" t="n">
        <v>0</v>
      </c>
      <c r="J241" s="4" t="n">
        <v>3755</v>
      </c>
      <c r="K241" s="4" t="n">
        <f aca="false">H241+J241</f>
        <v>1014020</v>
      </c>
      <c r="L241" s="4" t="n">
        <f aca="false">K241/D241*100</f>
        <v>60.105852973551</v>
      </c>
      <c r="M241" s="4" t="n">
        <v>62.4295999270938</v>
      </c>
      <c r="N241" s="4" t="n">
        <v>57.1784652228341</v>
      </c>
      <c r="O241" s="4" t="n">
        <v>0</v>
      </c>
    </row>
    <row r="242" customFormat="false" ht="15" hidden="false" customHeight="false" outlineLevel="0" collapsed="false">
      <c r="A242" s="1" t="str">
        <f aca="false">A241</f>
        <v>Maharashtra</v>
      </c>
      <c r="B242" s="4" t="n">
        <v>17</v>
      </c>
      <c r="C242" s="4" t="s">
        <v>267</v>
      </c>
      <c r="D242" s="4" t="n">
        <v>1803792</v>
      </c>
      <c r="E242" s="4" t="n">
        <v>637677</v>
      </c>
      <c r="F242" s="4" t="n">
        <v>523946</v>
      </c>
      <c r="G242" s="4" t="n">
        <v>1</v>
      </c>
      <c r="H242" s="4" t="n">
        <f aca="false">E242+F242+G242</f>
        <v>1161624</v>
      </c>
      <c r="I242" s="4" t="n">
        <v>0</v>
      </c>
      <c r="J242" s="4" t="n">
        <v>747</v>
      </c>
      <c r="K242" s="4" t="n">
        <f aca="false">H242+J242</f>
        <v>1162371</v>
      </c>
      <c r="L242" s="4" t="n">
        <f aca="false">K242/D242*100</f>
        <v>64.4404121983022</v>
      </c>
      <c r="M242" s="4" t="n">
        <v>67.4623426580085</v>
      </c>
      <c r="N242" s="4" t="n">
        <v>61.0909591219718</v>
      </c>
      <c r="O242" s="4" t="n">
        <v>9.09090909090909</v>
      </c>
    </row>
    <row r="243" customFormat="false" ht="15" hidden="false" customHeight="false" outlineLevel="0" collapsed="false">
      <c r="A243" s="1" t="str">
        <f aca="false">A242</f>
        <v>Maharashtra</v>
      </c>
      <c r="B243" s="4" t="n">
        <v>18</v>
      </c>
      <c r="C243" s="4" t="s">
        <v>268</v>
      </c>
      <c r="D243" s="4" t="n">
        <v>1612056</v>
      </c>
      <c r="E243" s="4" t="n">
        <v>595979</v>
      </c>
      <c r="F243" s="4" t="n">
        <v>469547</v>
      </c>
      <c r="G243" s="4" t="n">
        <v>0</v>
      </c>
      <c r="H243" s="4" t="n">
        <f aca="false">E243+F243+G243</f>
        <v>1065526</v>
      </c>
      <c r="I243" s="4" t="n">
        <v>0</v>
      </c>
      <c r="J243" s="4" t="n">
        <v>849</v>
      </c>
      <c r="K243" s="4" t="n">
        <f aca="false">H243+J243</f>
        <v>1066375</v>
      </c>
      <c r="L243" s="4" t="n">
        <f aca="false">K243/D243*100</f>
        <v>66.1499972705663</v>
      </c>
      <c r="M243" s="4" t="n">
        <v>68.9243262872303</v>
      </c>
      <c r="N243" s="4" t="n">
        <v>63.0548811275958</v>
      </c>
      <c r="O243" s="4" t="n">
        <v>0</v>
      </c>
    </row>
    <row r="244" customFormat="false" ht="15" hidden="false" customHeight="false" outlineLevel="0" collapsed="false">
      <c r="A244" s="1" t="str">
        <f aca="false">A243</f>
        <v>Maharashtra</v>
      </c>
      <c r="B244" s="4" t="n">
        <v>19</v>
      </c>
      <c r="C244" s="4" t="s">
        <v>113</v>
      </c>
      <c r="D244" s="4" t="n">
        <v>1589395</v>
      </c>
      <c r="E244" s="4" t="n">
        <v>554458</v>
      </c>
      <c r="F244" s="4" t="n">
        <v>428022</v>
      </c>
      <c r="G244" s="4" t="n">
        <v>0</v>
      </c>
      <c r="H244" s="4" t="n">
        <f aca="false">E244+F244+G244</f>
        <v>982480</v>
      </c>
      <c r="I244" s="4" t="n">
        <v>0</v>
      </c>
      <c r="J244" s="4" t="n">
        <v>577</v>
      </c>
      <c r="K244" s="4" t="n">
        <f aca="false">H244+J244</f>
        <v>983057</v>
      </c>
      <c r="L244" s="4" t="n">
        <f aca="false">K244/D244*100</f>
        <v>61.8510187838769</v>
      </c>
      <c r="M244" s="4" t="n">
        <v>65.6723665991929</v>
      </c>
      <c r="N244" s="4" t="n">
        <v>57.6385307239324</v>
      </c>
      <c r="O244" s="4" t="n">
        <v>0</v>
      </c>
    </row>
    <row r="245" customFormat="false" ht="15" hidden="false" customHeight="false" outlineLevel="0" collapsed="false">
      <c r="A245" s="1" t="str">
        <f aca="false">A244</f>
        <v>Maharashtra</v>
      </c>
      <c r="B245" s="4" t="n">
        <v>20</v>
      </c>
      <c r="C245" s="4" t="s">
        <v>269</v>
      </c>
      <c r="D245" s="4" t="n">
        <v>1530208</v>
      </c>
      <c r="E245" s="4" t="n">
        <v>546617</v>
      </c>
      <c r="F245" s="4" t="n">
        <v>422882</v>
      </c>
      <c r="G245" s="4" t="n">
        <v>0</v>
      </c>
      <c r="H245" s="4" t="n">
        <f aca="false">E245+F245+G245</f>
        <v>969499</v>
      </c>
      <c r="I245" s="4" t="n">
        <v>0</v>
      </c>
      <c r="J245" s="4" t="n">
        <v>817</v>
      </c>
      <c r="K245" s="4" t="n">
        <f aca="false">H245+J245</f>
        <v>970316</v>
      </c>
      <c r="L245" s="4" t="n">
        <f aca="false">K245/D245*100</f>
        <v>63.410725862105</v>
      </c>
      <c r="M245" s="4" t="n">
        <v>67.8959011577717</v>
      </c>
      <c r="N245" s="4" t="n">
        <v>58.6069549695381</v>
      </c>
      <c r="O245" s="4" t="n">
        <v>0</v>
      </c>
    </row>
    <row r="246" customFormat="false" ht="15" hidden="false" customHeight="false" outlineLevel="0" collapsed="false">
      <c r="A246" s="1" t="str">
        <f aca="false">A245</f>
        <v>Maharashtra</v>
      </c>
      <c r="B246" s="4" t="n">
        <v>21</v>
      </c>
      <c r="C246" s="4" t="s">
        <v>270</v>
      </c>
      <c r="D246" s="4" t="n">
        <v>1593774</v>
      </c>
      <c r="E246" s="4" t="n">
        <v>523318</v>
      </c>
      <c r="F246" s="4" t="n">
        <v>412087</v>
      </c>
      <c r="G246" s="4" t="n">
        <v>0</v>
      </c>
      <c r="H246" s="4" t="n">
        <f aca="false">E246+F246+G246</f>
        <v>935405</v>
      </c>
      <c r="I246" s="4" t="n">
        <v>0</v>
      </c>
      <c r="J246" s="4" t="n">
        <v>2195</v>
      </c>
      <c r="K246" s="4" t="n">
        <f aca="false">H246+J246</f>
        <v>937600</v>
      </c>
      <c r="L246" s="4" t="n">
        <f aca="false">K246/D246*100</f>
        <v>58.8289180272736</v>
      </c>
      <c r="M246" s="4" t="n">
        <v>61.7377280872816</v>
      </c>
      <c r="N246" s="4" t="n">
        <v>55.5335893807695</v>
      </c>
      <c r="O246" s="4" t="n">
        <v>0</v>
      </c>
    </row>
    <row r="247" customFormat="false" ht="15" hidden="false" customHeight="false" outlineLevel="0" collapsed="false">
      <c r="A247" s="1" t="str">
        <f aca="false">A246</f>
        <v>Maharashtra</v>
      </c>
      <c r="B247" s="4" t="n">
        <v>22</v>
      </c>
      <c r="C247" s="4" t="s">
        <v>271</v>
      </c>
      <c r="D247" s="4" t="n">
        <v>1578149</v>
      </c>
      <c r="E247" s="4" t="n">
        <v>531904</v>
      </c>
      <c r="F247" s="4" t="n">
        <v>460337</v>
      </c>
      <c r="G247" s="4" t="n">
        <v>39</v>
      </c>
      <c r="H247" s="4" t="n">
        <f aca="false">E247+F247+G247</f>
        <v>992280</v>
      </c>
      <c r="I247" s="4" t="n">
        <v>0</v>
      </c>
      <c r="J247" s="4" t="n">
        <v>490</v>
      </c>
      <c r="K247" s="4" t="n">
        <f aca="false">H247+J247</f>
        <v>992770</v>
      </c>
      <c r="L247" s="4" t="n">
        <f aca="false">K247/D247*100</f>
        <v>62.9072413314586</v>
      </c>
      <c r="M247" s="4" t="n">
        <v>64.0673744257588</v>
      </c>
      <c r="N247" s="4" t="n">
        <v>61.57489583403</v>
      </c>
      <c r="O247" s="4" t="n">
        <v>50</v>
      </c>
    </row>
    <row r="248" customFormat="false" ht="15" hidden="false" customHeight="false" outlineLevel="0" collapsed="false">
      <c r="A248" s="4" t="str">
        <f aca="false">A247</f>
        <v>Maharashtra</v>
      </c>
      <c r="B248" s="4" t="n">
        <v>23</v>
      </c>
      <c r="C248" s="4" t="s">
        <v>272</v>
      </c>
      <c r="D248" s="4" t="n">
        <v>1696584</v>
      </c>
      <c r="E248" s="4" t="n">
        <v>502705</v>
      </c>
      <c r="F248" s="4" t="n">
        <v>372339</v>
      </c>
      <c r="G248" s="4" t="n">
        <v>0</v>
      </c>
      <c r="H248" s="4" t="n">
        <f aca="false">E248+F248+G248</f>
        <v>875044</v>
      </c>
      <c r="I248" s="4" t="n">
        <v>0</v>
      </c>
      <c r="J248" s="4" t="n">
        <v>770</v>
      </c>
      <c r="K248" s="4" t="n">
        <f aca="false">H248+J248</f>
        <v>875814</v>
      </c>
      <c r="L248" s="4" t="n">
        <f aca="false">K248/D248*100</f>
        <v>51.6222008459351</v>
      </c>
      <c r="M248" s="4" t="n">
        <v>53.184983934634</v>
      </c>
      <c r="N248" s="4" t="n">
        <v>49.5800848219339</v>
      </c>
      <c r="O248" s="4" t="n">
        <v>0</v>
      </c>
    </row>
    <row r="249" customFormat="false" ht="15" hidden="false" customHeight="false" outlineLevel="0" collapsed="false">
      <c r="A249" s="1" t="str">
        <f aca="false">A248</f>
        <v>Maharashtra</v>
      </c>
      <c r="B249" s="4" t="n">
        <v>24</v>
      </c>
      <c r="C249" s="4" t="s">
        <v>273</v>
      </c>
      <c r="D249" s="4" t="n">
        <v>1922034</v>
      </c>
      <c r="E249" s="4" t="n">
        <v>472077</v>
      </c>
      <c r="F249" s="4" t="n">
        <v>352517</v>
      </c>
      <c r="G249" s="4" t="n">
        <v>58</v>
      </c>
      <c r="H249" s="4" t="n">
        <f aca="false">E249+F249+G249</f>
        <v>824652</v>
      </c>
      <c r="I249" s="4" t="n">
        <v>0</v>
      </c>
      <c r="J249" s="4" t="n">
        <v>762</v>
      </c>
      <c r="K249" s="4" t="n">
        <f aca="false">H249+J249</f>
        <v>825414</v>
      </c>
      <c r="L249" s="4" t="n">
        <f aca="false">K249/D249*100</f>
        <v>42.9448178336075</v>
      </c>
      <c r="M249" s="4" t="n">
        <v>45.1954191574344</v>
      </c>
      <c r="N249" s="4" t="n">
        <v>40.1999064898336</v>
      </c>
      <c r="O249" s="4" t="n">
        <v>60.4166666666667</v>
      </c>
    </row>
    <row r="250" customFormat="false" ht="15" hidden="false" customHeight="false" outlineLevel="0" collapsed="false">
      <c r="A250" s="1" t="str">
        <f aca="false">A249</f>
        <v>Maharashtra</v>
      </c>
      <c r="B250" s="4" t="n">
        <v>25</v>
      </c>
      <c r="C250" s="4" t="s">
        <v>274</v>
      </c>
      <c r="D250" s="4" t="n">
        <v>2073251</v>
      </c>
      <c r="E250" s="4" t="n">
        <v>590956</v>
      </c>
      <c r="F250" s="4" t="n">
        <v>462684</v>
      </c>
      <c r="G250" s="4" t="n">
        <v>18</v>
      </c>
      <c r="H250" s="4" t="n">
        <f aca="false">E250+F250+G250</f>
        <v>1053658</v>
      </c>
      <c r="I250" s="4" t="n">
        <v>0</v>
      </c>
      <c r="J250" s="4" t="n">
        <v>917</v>
      </c>
      <c r="K250" s="4" t="n">
        <f aca="false">H250+J250</f>
        <v>1054575</v>
      </c>
      <c r="L250" s="4" t="n">
        <f aca="false">K250/D250*100</f>
        <v>50.8657658913465</v>
      </c>
      <c r="M250" s="4" t="n">
        <v>51.7885467805457</v>
      </c>
      <c r="N250" s="4" t="n">
        <v>49.6796534007634</v>
      </c>
      <c r="O250" s="4" t="n">
        <v>38.2978723404255</v>
      </c>
    </row>
    <row r="251" customFormat="false" ht="15" hidden="false" customHeight="false" outlineLevel="0" collapsed="false">
      <c r="A251" s="1" t="str">
        <f aca="false">A250</f>
        <v>Maharashtra</v>
      </c>
      <c r="B251" s="4" t="n">
        <v>26</v>
      </c>
      <c r="C251" s="4" t="s">
        <v>275</v>
      </c>
      <c r="D251" s="4" t="n">
        <v>1783870</v>
      </c>
      <c r="E251" s="4" t="n">
        <v>527247</v>
      </c>
      <c r="F251" s="4" t="n">
        <v>418394</v>
      </c>
      <c r="G251" s="4" t="n">
        <v>1</v>
      </c>
      <c r="H251" s="4" t="n">
        <f aca="false">E251+F251+G251</f>
        <v>945642</v>
      </c>
      <c r="I251" s="4" t="n">
        <v>0</v>
      </c>
      <c r="J251" s="4" t="n">
        <v>1075</v>
      </c>
      <c r="K251" s="4" t="n">
        <f aca="false">H251+J251</f>
        <v>946717</v>
      </c>
      <c r="L251" s="4" t="n">
        <f aca="false">K251/D251*100</f>
        <v>53.0709636913004</v>
      </c>
      <c r="M251" s="4" t="n">
        <v>54.2104456848857</v>
      </c>
      <c r="N251" s="4" t="n">
        <v>51.5872810375801</v>
      </c>
      <c r="O251" s="4" t="n">
        <v>14.2857142857143</v>
      </c>
    </row>
    <row r="252" customFormat="false" ht="15" hidden="false" customHeight="false" outlineLevel="0" collapsed="false">
      <c r="A252" s="1" t="str">
        <f aca="false">A251</f>
        <v>Maharashtra</v>
      </c>
      <c r="B252" s="4" t="n">
        <v>27</v>
      </c>
      <c r="C252" s="4" t="s">
        <v>276</v>
      </c>
      <c r="D252" s="4" t="n">
        <v>1775416</v>
      </c>
      <c r="E252" s="4" t="n">
        <v>504202</v>
      </c>
      <c r="F252" s="4" t="n">
        <v>393043</v>
      </c>
      <c r="G252" s="4" t="n">
        <v>0</v>
      </c>
      <c r="H252" s="4" t="n">
        <f aca="false">E252+F252+G252</f>
        <v>897245</v>
      </c>
      <c r="I252" s="4" t="n">
        <v>0</v>
      </c>
      <c r="J252" s="4" t="n">
        <v>626</v>
      </c>
      <c r="K252" s="4" t="n">
        <f aca="false">H252+J252</f>
        <v>897871</v>
      </c>
      <c r="L252" s="4" t="n">
        <f aca="false">K252/D252*100</f>
        <v>50.5724292222217</v>
      </c>
      <c r="M252" s="4" t="n">
        <v>51.1074417694741</v>
      </c>
      <c r="N252" s="4" t="n">
        <v>49.8384548472422</v>
      </c>
      <c r="O252" s="4" t="n">
        <v>0</v>
      </c>
    </row>
    <row r="253" customFormat="false" ht="15" hidden="false" customHeight="false" outlineLevel="0" collapsed="false">
      <c r="A253" s="1" t="str">
        <f aca="false">A252</f>
        <v>Maharashtra</v>
      </c>
      <c r="B253" s="4" t="n">
        <v>28</v>
      </c>
      <c r="C253" s="4" t="s">
        <v>277</v>
      </c>
      <c r="D253" s="4" t="n">
        <v>1668357</v>
      </c>
      <c r="E253" s="4" t="n">
        <v>485677</v>
      </c>
      <c r="F253" s="4" t="n">
        <v>375903</v>
      </c>
      <c r="G253" s="4" t="n">
        <v>58</v>
      </c>
      <c r="H253" s="4" t="n">
        <f aca="false">E253+F253+G253</f>
        <v>861638</v>
      </c>
      <c r="I253" s="4" t="n">
        <v>0</v>
      </c>
      <c r="J253" s="4" t="n">
        <v>884</v>
      </c>
      <c r="K253" s="4" t="n">
        <f aca="false">H253+J253</f>
        <v>862522</v>
      </c>
      <c r="L253" s="4" t="n">
        <f aca="false">K253/D253*100</f>
        <v>51.6988869888159</v>
      </c>
      <c r="M253" s="4" t="n">
        <v>52.6361022513105</v>
      </c>
      <c r="N253" s="4" t="n">
        <v>50.4479078175515</v>
      </c>
      <c r="O253" s="4" t="n">
        <v>66.6666666666667</v>
      </c>
    </row>
    <row r="254" customFormat="false" ht="15" hidden="false" customHeight="false" outlineLevel="0" collapsed="false">
      <c r="A254" s="1" t="str">
        <f aca="false">A253</f>
        <v>Maharashtra</v>
      </c>
      <c r="B254" s="4" t="n">
        <v>29</v>
      </c>
      <c r="C254" s="4" t="s">
        <v>278</v>
      </c>
      <c r="D254" s="4" t="n">
        <v>1737084</v>
      </c>
      <c r="E254" s="4" t="n">
        <v>472010</v>
      </c>
      <c r="F254" s="4" t="n">
        <v>372857</v>
      </c>
      <c r="G254" s="4" t="n">
        <v>0</v>
      </c>
      <c r="H254" s="4" t="n">
        <f aca="false">E254+F254+G254</f>
        <v>844867</v>
      </c>
      <c r="I254" s="4" t="n">
        <v>0</v>
      </c>
      <c r="J254" s="4" t="n">
        <v>588</v>
      </c>
      <c r="K254" s="4" t="n">
        <f aca="false">H254+J254</f>
        <v>845455</v>
      </c>
      <c r="L254" s="4" t="n">
        <f aca="false">K254/D254*100</f>
        <v>48.6709335875525</v>
      </c>
      <c r="M254" s="4" t="n">
        <v>48.7961460131705</v>
      </c>
      <c r="N254" s="4" t="n">
        <v>48.4530656693376</v>
      </c>
      <c r="O254" s="4" t="n">
        <v>0</v>
      </c>
    </row>
    <row r="255" customFormat="false" ht="15" hidden="false" customHeight="false" outlineLevel="0" collapsed="false">
      <c r="A255" s="1" t="str">
        <f aca="false">A254</f>
        <v>Maharashtra</v>
      </c>
      <c r="B255" s="4" t="n">
        <v>30</v>
      </c>
      <c r="C255" s="4" t="s">
        <v>279</v>
      </c>
      <c r="D255" s="4" t="n">
        <v>1447886</v>
      </c>
      <c r="E255" s="4" t="n">
        <v>424310</v>
      </c>
      <c r="F255" s="4" t="n">
        <v>343790</v>
      </c>
      <c r="G255" s="4" t="n">
        <v>30</v>
      </c>
      <c r="H255" s="4" t="n">
        <f aca="false">E255+F255+G255</f>
        <v>768130</v>
      </c>
      <c r="I255" s="4" t="n">
        <v>0</v>
      </c>
      <c r="J255" s="4" t="n">
        <v>620</v>
      </c>
      <c r="K255" s="4" t="n">
        <f aca="false">H255+J255</f>
        <v>768750</v>
      </c>
      <c r="L255" s="4" t="n">
        <f aca="false">K255/D255*100</f>
        <v>53.0946497168976</v>
      </c>
      <c r="M255" s="4" t="n">
        <v>53.4663471110204</v>
      </c>
      <c r="N255" s="4" t="n">
        <v>52.5730661479551</v>
      </c>
      <c r="O255" s="4" t="n">
        <v>50.8474576271186</v>
      </c>
    </row>
    <row r="256" customFormat="false" ht="15" hidden="false" customHeight="false" outlineLevel="0" collapsed="false">
      <c r="A256" s="1" t="str">
        <f aca="false">A255</f>
        <v>Maharashtra</v>
      </c>
      <c r="B256" s="4" t="n">
        <v>31</v>
      </c>
      <c r="C256" s="4" t="s">
        <v>280</v>
      </c>
      <c r="D256" s="4" t="n">
        <v>1485844</v>
      </c>
      <c r="E256" s="4" t="n">
        <v>436292</v>
      </c>
      <c r="F256" s="4" t="n">
        <v>342366</v>
      </c>
      <c r="G256" s="4" t="n">
        <v>8</v>
      </c>
      <c r="H256" s="4" t="n">
        <f aca="false">E256+F256+G256</f>
        <v>778666</v>
      </c>
      <c r="I256" s="4" t="n">
        <v>0</v>
      </c>
      <c r="J256" s="4" t="n">
        <v>1193</v>
      </c>
      <c r="K256" s="4" t="n">
        <f aca="false">H256+J256</f>
        <v>779859</v>
      </c>
      <c r="L256" s="4" t="n">
        <f aca="false">K256/D256*100</f>
        <v>52.485927190203</v>
      </c>
      <c r="M256" s="4" t="n">
        <v>52.6513830443267</v>
      </c>
      <c r="N256" s="4" t="n">
        <v>52.1344666802701</v>
      </c>
      <c r="O256" s="4" t="n">
        <v>53.3333333333333</v>
      </c>
    </row>
    <row r="257" customFormat="false" ht="15" hidden="false" customHeight="false" outlineLevel="0" collapsed="false">
      <c r="A257" s="1" t="str">
        <f aca="false">A256</f>
        <v>Maharashtra</v>
      </c>
      <c r="B257" s="4" t="n">
        <v>32</v>
      </c>
      <c r="C257" s="4" t="s">
        <v>281</v>
      </c>
      <c r="D257" s="4" t="n">
        <v>1532781</v>
      </c>
      <c r="E257" s="4" t="n">
        <v>485550</v>
      </c>
      <c r="F257" s="4" t="n">
        <v>502232</v>
      </c>
      <c r="G257" s="4" t="n">
        <v>0</v>
      </c>
      <c r="H257" s="4" t="n">
        <f aca="false">E257+F257+G257</f>
        <v>987782</v>
      </c>
      <c r="I257" s="4" t="n">
        <v>0</v>
      </c>
      <c r="J257" s="4" t="n">
        <v>410</v>
      </c>
      <c r="K257" s="4" t="n">
        <f aca="false">H257+J257</f>
        <v>988192</v>
      </c>
      <c r="L257" s="4" t="n">
        <f aca="false">K257/D257*100</f>
        <v>64.4705277531493</v>
      </c>
      <c r="M257" s="4" t="n">
        <v>64.7078186448606</v>
      </c>
      <c r="N257" s="4" t="n">
        <v>64.4420065310417</v>
      </c>
      <c r="O257" s="4" t="n">
        <v>0</v>
      </c>
    </row>
    <row r="258" customFormat="false" ht="15" hidden="false" customHeight="false" outlineLevel="0" collapsed="false">
      <c r="A258" s="1" t="str">
        <f aca="false">A257</f>
        <v>Maharashtra</v>
      </c>
      <c r="B258" s="4" t="n">
        <v>33</v>
      </c>
      <c r="C258" s="4" t="s">
        <v>282</v>
      </c>
      <c r="D258" s="4" t="n">
        <v>1953741</v>
      </c>
      <c r="E258" s="4" t="n">
        <v>646904</v>
      </c>
      <c r="F258" s="4" t="n">
        <v>527044</v>
      </c>
      <c r="G258" s="4" t="n">
        <v>1</v>
      </c>
      <c r="H258" s="4" t="n">
        <f aca="false">E258+F258+G258</f>
        <v>1173949</v>
      </c>
      <c r="I258" s="4" t="n">
        <v>0</v>
      </c>
      <c r="J258" s="4" t="n">
        <v>431</v>
      </c>
      <c r="K258" s="4" t="n">
        <f aca="false">H258+J258</f>
        <v>1174380</v>
      </c>
      <c r="L258" s="4" t="n">
        <f aca="false">K258/D258*100</f>
        <v>60.1092980082826</v>
      </c>
      <c r="M258" s="4" t="n">
        <v>62.508297831017</v>
      </c>
      <c r="N258" s="4" t="n">
        <v>57.4567012141212</v>
      </c>
      <c r="O258" s="4" t="n">
        <v>10</v>
      </c>
    </row>
    <row r="259" customFormat="false" ht="15" hidden="false" customHeight="false" outlineLevel="0" collapsed="false">
      <c r="A259" s="1" t="str">
        <f aca="false">A258</f>
        <v>Maharashtra</v>
      </c>
      <c r="B259" s="4" t="n">
        <v>34</v>
      </c>
      <c r="C259" s="4" t="s">
        <v>283</v>
      </c>
      <c r="D259" s="4" t="n">
        <v>1835835</v>
      </c>
      <c r="E259" s="4" t="n">
        <v>533792</v>
      </c>
      <c r="F259" s="4" t="n">
        <v>459588</v>
      </c>
      <c r="G259" s="4" t="n">
        <v>2</v>
      </c>
      <c r="H259" s="4" t="n">
        <f aca="false">E259+F259+G259</f>
        <v>993382</v>
      </c>
      <c r="I259" s="4" t="n">
        <v>0</v>
      </c>
      <c r="J259" s="4" t="n">
        <v>584</v>
      </c>
      <c r="K259" s="4" t="n">
        <f aca="false">H259+J259</f>
        <v>993966</v>
      </c>
      <c r="L259" s="4" t="n">
        <f aca="false">K259/D259*100</f>
        <v>54.1424474421721</v>
      </c>
      <c r="M259" s="4" t="n">
        <v>56.299690125574</v>
      </c>
      <c r="N259" s="4" t="n">
        <v>51.8921482284398</v>
      </c>
      <c r="O259" s="4" t="n">
        <v>25</v>
      </c>
    </row>
    <row r="260" customFormat="false" ht="15" hidden="false" customHeight="false" outlineLevel="0" collapsed="false">
      <c r="A260" s="1" t="str">
        <f aca="false">A259</f>
        <v>Maharashtra</v>
      </c>
      <c r="B260" s="4" t="n">
        <v>35</v>
      </c>
      <c r="C260" s="4" t="s">
        <v>284</v>
      </c>
      <c r="D260" s="4" t="n">
        <v>1813553</v>
      </c>
      <c r="E260" s="4" t="n">
        <v>602117</v>
      </c>
      <c r="F260" s="4" t="n">
        <v>463496</v>
      </c>
      <c r="G260" s="4" t="n">
        <v>0</v>
      </c>
      <c r="H260" s="4" t="n">
        <f aca="false">E260+F260+G260</f>
        <v>1065613</v>
      </c>
      <c r="I260" s="4" t="n">
        <v>0</v>
      </c>
      <c r="J260" s="4" t="n">
        <v>1350</v>
      </c>
      <c r="K260" s="4" t="n">
        <f aca="false">H260+J260</f>
        <v>1066963</v>
      </c>
      <c r="L260" s="4" t="n">
        <f aca="false">K260/D260*100</f>
        <v>58.8327443421836</v>
      </c>
      <c r="M260" s="4" t="n">
        <v>62.866620239327</v>
      </c>
      <c r="N260" s="4" t="n">
        <v>54.3861295985131</v>
      </c>
      <c r="O260" s="4" t="n">
        <v>0</v>
      </c>
    </row>
    <row r="261" customFormat="false" ht="15" hidden="false" customHeight="false" outlineLevel="0" collapsed="false">
      <c r="A261" s="1" t="str">
        <f aca="false">A260</f>
        <v>Maharashtra</v>
      </c>
      <c r="B261" s="4" t="n">
        <v>36</v>
      </c>
      <c r="C261" s="4" t="s">
        <v>285</v>
      </c>
      <c r="D261" s="4" t="n">
        <v>1824112</v>
      </c>
      <c r="E261" s="4" t="n">
        <v>613290</v>
      </c>
      <c r="F261" s="4" t="n">
        <v>475412</v>
      </c>
      <c r="G261" s="4" t="n">
        <v>0</v>
      </c>
      <c r="H261" s="4" t="n">
        <f aca="false">E261+F261+G261</f>
        <v>1088702</v>
      </c>
      <c r="I261" s="4" t="n">
        <v>0</v>
      </c>
      <c r="J261" s="4" t="n">
        <v>871</v>
      </c>
      <c r="K261" s="4" t="n">
        <f aca="false">H261+J261</f>
        <v>1089573</v>
      </c>
      <c r="L261" s="4" t="n">
        <f aca="false">K261/D261*100</f>
        <v>59.7316941065022</v>
      </c>
      <c r="M261" s="4" t="n">
        <v>63.1902042767679</v>
      </c>
      <c r="N261" s="4" t="n">
        <v>55.9410903648199</v>
      </c>
      <c r="O261" s="4" t="n">
        <v>0</v>
      </c>
    </row>
    <row r="262" customFormat="false" ht="15" hidden="false" customHeight="false" outlineLevel="0" collapsed="false">
      <c r="A262" s="1" t="str">
        <f aca="false">A261</f>
        <v>Maharashtra</v>
      </c>
      <c r="B262" s="4" t="n">
        <v>37</v>
      </c>
      <c r="C262" s="4" t="s">
        <v>286</v>
      </c>
      <c r="D262" s="4" t="n">
        <v>1705005</v>
      </c>
      <c r="E262" s="4" t="n">
        <v>594749</v>
      </c>
      <c r="F262" s="4" t="n">
        <v>465801</v>
      </c>
      <c r="G262" s="4" t="n">
        <v>1</v>
      </c>
      <c r="H262" s="4" t="n">
        <f aca="false">E262+F262+G262</f>
        <v>1060551</v>
      </c>
      <c r="I262" s="4" t="n">
        <v>0</v>
      </c>
      <c r="J262" s="4" t="n">
        <v>2229</v>
      </c>
      <c r="K262" s="4" t="n">
        <f aca="false">H262+J262</f>
        <v>1062780</v>
      </c>
      <c r="L262" s="4" t="n">
        <f aca="false">K262/D262*100</f>
        <v>62.3329550353225</v>
      </c>
      <c r="M262" s="4" t="n">
        <v>66.3814964127703</v>
      </c>
      <c r="N262" s="4" t="n">
        <v>58.2799081136268</v>
      </c>
      <c r="O262" s="4" t="n">
        <v>1.63934426229508</v>
      </c>
    </row>
    <row r="263" customFormat="false" ht="15" hidden="false" customHeight="false" outlineLevel="0" collapsed="false">
      <c r="A263" s="1" t="str">
        <f aca="false">A262</f>
        <v>Maharashtra</v>
      </c>
      <c r="B263" s="4" t="n">
        <v>38</v>
      </c>
      <c r="C263" s="4" t="s">
        <v>287</v>
      </c>
      <c r="D263" s="4" t="n">
        <v>1462267</v>
      </c>
      <c r="E263" s="4" t="n">
        <v>519824</v>
      </c>
      <c r="F263" s="4" t="n">
        <v>412130</v>
      </c>
      <c r="G263" s="4" t="n">
        <v>0</v>
      </c>
      <c r="H263" s="4" t="n">
        <f aca="false">E263+F263+G263</f>
        <v>931954</v>
      </c>
      <c r="I263" s="4" t="n">
        <v>0</v>
      </c>
      <c r="J263" s="4" t="n">
        <v>939</v>
      </c>
      <c r="K263" s="4" t="n">
        <f aca="false">H263+J263</f>
        <v>932893</v>
      </c>
      <c r="L263" s="4" t="n">
        <f aca="false">K263/D263*100</f>
        <v>63.7977195683141</v>
      </c>
      <c r="M263" s="4" t="n">
        <v>67.8608121250889</v>
      </c>
      <c r="N263" s="4" t="n">
        <v>59.4613233762224</v>
      </c>
      <c r="O263" s="4" t="n">
        <v>0</v>
      </c>
    </row>
    <row r="264" customFormat="false" ht="15" hidden="false" customHeight="false" outlineLevel="0" collapsed="false">
      <c r="A264" s="1" t="str">
        <f aca="false">A263</f>
        <v>Maharashtra</v>
      </c>
      <c r="B264" s="4" t="n">
        <v>39</v>
      </c>
      <c r="C264" s="4" t="s">
        <v>288</v>
      </c>
      <c r="D264" s="4" t="n">
        <v>1792652</v>
      </c>
      <c r="E264" s="4" t="n">
        <v>680369</v>
      </c>
      <c r="F264" s="4" t="n">
        <v>551091</v>
      </c>
      <c r="G264" s="4" t="n">
        <v>0</v>
      </c>
      <c r="H264" s="4" t="n">
        <f aca="false">E264+F264+G264</f>
        <v>1231460</v>
      </c>
      <c r="I264" s="4" t="n">
        <v>0</v>
      </c>
      <c r="J264" s="4" t="n">
        <v>930</v>
      </c>
      <c r="K264" s="4" t="n">
        <f aca="false">H264+J264</f>
        <v>1232390</v>
      </c>
      <c r="L264" s="4" t="n">
        <f aca="false">K264/D264*100</f>
        <v>68.7467506242149</v>
      </c>
      <c r="M264" s="4" t="n">
        <v>70.8960675064684</v>
      </c>
      <c r="N264" s="4" t="n">
        <v>66.5942025482879</v>
      </c>
      <c r="O264" s="4" t="n">
        <v>0</v>
      </c>
    </row>
    <row r="265" customFormat="false" ht="15" hidden="false" customHeight="false" outlineLevel="0" collapsed="false">
      <c r="A265" s="1" t="str">
        <f aca="false">A264</f>
        <v>Maharashtra</v>
      </c>
      <c r="B265" s="4" t="n">
        <v>40</v>
      </c>
      <c r="C265" s="4" t="s">
        <v>289</v>
      </c>
      <c r="D265" s="4" t="n">
        <v>1759186</v>
      </c>
      <c r="E265" s="4" t="n">
        <v>611537</v>
      </c>
      <c r="F265" s="4" t="n">
        <v>505020</v>
      </c>
      <c r="G265" s="4" t="n">
        <v>15</v>
      </c>
      <c r="H265" s="4" t="n">
        <f aca="false">E265+F265+G265</f>
        <v>1116572</v>
      </c>
      <c r="I265" s="4" t="n">
        <v>0</v>
      </c>
      <c r="J265" s="4" t="n">
        <v>3132</v>
      </c>
      <c r="K265" s="4" t="n">
        <f aca="false">H265+J265</f>
        <v>1119704</v>
      </c>
      <c r="L265" s="4" t="n">
        <f aca="false">K265/D265*100</f>
        <v>63.6489831092335</v>
      </c>
      <c r="M265" s="4" t="n">
        <v>65.7659304697759</v>
      </c>
      <c r="N265" s="4" t="n">
        <v>61.3865020682178</v>
      </c>
      <c r="O265" s="4" t="n">
        <v>93.75</v>
      </c>
    </row>
    <row r="266" customFormat="false" ht="15" hidden="false" customHeight="false" outlineLevel="0" collapsed="false">
      <c r="A266" s="1" t="str">
        <f aca="false">A265</f>
        <v>Maharashtra</v>
      </c>
      <c r="B266" s="4" t="n">
        <v>41</v>
      </c>
      <c r="C266" s="4" t="s">
        <v>290</v>
      </c>
      <c r="D266" s="4" t="n">
        <v>1686957</v>
      </c>
      <c r="E266" s="4" t="n">
        <v>576599</v>
      </c>
      <c r="F266" s="4" t="n">
        <v>477934</v>
      </c>
      <c r="G266" s="4" t="n">
        <v>0</v>
      </c>
      <c r="H266" s="4" t="n">
        <f aca="false">E266+F266+G266</f>
        <v>1054533</v>
      </c>
      <c r="I266" s="4" t="n">
        <v>0</v>
      </c>
      <c r="J266" s="4" t="n">
        <v>3046</v>
      </c>
      <c r="K266" s="4" t="n">
        <f aca="false">H266+J266</f>
        <v>1057579</v>
      </c>
      <c r="L266" s="4" t="n">
        <f aca="false">K266/D266*100</f>
        <v>62.6915208864245</v>
      </c>
      <c r="M266" s="4" t="n">
        <v>64.2155355981432</v>
      </c>
      <c r="N266" s="4" t="n">
        <v>60.9075199314887</v>
      </c>
      <c r="O266" s="4" t="n">
        <v>0</v>
      </c>
    </row>
    <row r="267" customFormat="false" ht="15" hidden="false" customHeight="false" outlineLevel="0" collapsed="false">
      <c r="A267" s="1" t="str">
        <f aca="false">A266</f>
        <v>Maharashtra</v>
      </c>
      <c r="B267" s="4" t="n">
        <v>42</v>
      </c>
      <c r="C267" s="4" t="s">
        <v>291</v>
      </c>
      <c r="D267" s="4" t="n">
        <v>1702739</v>
      </c>
      <c r="E267" s="4" t="n">
        <v>526695</v>
      </c>
      <c r="F267" s="4" t="n">
        <v>423356</v>
      </c>
      <c r="G267" s="4" t="n">
        <v>0</v>
      </c>
      <c r="H267" s="4" t="n">
        <f aca="false">E267+F267+G267</f>
        <v>950051</v>
      </c>
      <c r="I267" s="4" t="n">
        <v>0</v>
      </c>
      <c r="J267" s="4" t="n">
        <v>1459</v>
      </c>
      <c r="K267" s="4" t="n">
        <f aca="false">H267+J267</f>
        <v>951510</v>
      </c>
      <c r="L267" s="4" t="n">
        <f aca="false">K267/D267*100</f>
        <v>55.8811420893044</v>
      </c>
      <c r="M267" s="4" t="n">
        <v>59.0496360234228</v>
      </c>
      <c r="N267" s="4" t="n">
        <v>52.3846526959741</v>
      </c>
      <c r="O267" s="4" t="n">
        <v>0</v>
      </c>
    </row>
    <row r="268" customFormat="false" ht="15" hidden="false" customHeight="false" outlineLevel="0" collapsed="false">
      <c r="A268" s="1" t="str">
        <f aca="false">A267</f>
        <v>Maharashtra</v>
      </c>
      <c r="B268" s="4" t="n">
        <v>43</v>
      </c>
      <c r="C268" s="4" t="s">
        <v>292</v>
      </c>
      <c r="D268" s="4" t="n">
        <v>1727322</v>
      </c>
      <c r="E268" s="4" t="n">
        <v>594868</v>
      </c>
      <c r="F268" s="4" t="n">
        <v>483305</v>
      </c>
      <c r="G268" s="4" t="n">
        <v>0</v>
      </c>
      <c r="H268" s="4" t="n">
        <f aca="false">E268+F268+G268</f>
        <v>1078173</v>
      </c>
      <c r="I268" s="4" t="n">
        <v>0</v>
      </c>
      <c r="J268" s="4" t="n">
        <v>1994</v>
      </c>
      <c r="K268" s="4" t="n">
        <f aca="false">H268+J268</f>
        <v>1080167</v>
      </c>
      <c r="L268" s="4" t="n">
        <f aca="false">K268/D268*100</f>
        <v>62.5342003401798</v>
      </c>
      <c r="M268" s="4" t="n">
        <v>65.5489649229711</v>
      </c>
      <c r="N268" s="4" t="n">
        <v>59.4858154937222</v>
      </c>
      <c r="O268" s="4" t="n">
        <v>0</v>
      </c>
    </row>
    <row r="269" customFormat="false" ht="15" hidden="false" customHeight="false" outlineLevel="0" collapsed="false">
      <c r="A269" s="1" t="str">
        <f aca="false">A268</f>
        <v>Maharashtra</v>
      </c>
      <c r="B269" s="4" t="n">
        <v>44</v>
      </c>
      <c r="C269" s="4" t="s">
        <v>293</v>
      </c>
      <c r="D269" s="4" t="n">
        <v>1649107</v>
      </c>
      <c r="E269" s="4" t="n">
        <v>556695</v>
      </c>
      <c r="F269" s="4" t="n">
        <v>486169</v>
      </c>
      <c r="G269" s="4" t="n">
        <v>5</v>
      </c>
      <c r="H269" s="4" t="n">
        <f aca="false">E269+F269+G269</f>
        <v>1042869</v>
      </c>
      <c r="I269" s="4" t="n">
        <v>0</v>
      </c>
      <c r="J269" s="4" t="n">
        <v>4641</v>
      </c>
      <c r="K269" s="4" t="n">
        <f aca="false">H269+J269</f>
        <v>1047510</v>
      </c>
      <c r="L269" s="4" t="n">
        <f aca="false">K269/D269*100</f>
        <v>63.5198322486048</v>
      </c>
      <c r="M269" s="4" t="n">
        <v>65.252402592303</v>
      </c>
      <c r="N269" s="4" t="n">
        <v>61.9655102092839</v>
      </c>
      <c r="O269" s="4" t="n">
        <v>15.625</v>
      </c>
    </row>
    <row r="270" customFormat="false" ht="15" hidden="false" customHeight="false" outlineLevel="0" collapsed="false">
      <c r="A270" s="1" t="str">
        <f aca="false">A269</f>
        <v>Maharashtra</v>
      </c>
      <c r="B270" s="4" t="n">
        <v>45</v>
      </c>
      <c r="C270" s="4" t="s">
        <v>294</v>
      </c>
      <c r="D270" s="4" t="n">
        <v>1719998</v>
      </c>
      <c r="E270" s="4" t="n">
        <v>519148</v>
      </c>
      <c r="F270" s="4" t="n">
        <v>456561</v>
      </c>
      <c r="G270" s="4" t="n">
        <v>0</v>
      </c>
      <c r="H270" s="4" t="n">
        <f aca="false">E270+F270+G270</f>
        <v>975709</v>
      </c>
      <c r="I270" s="4" t="n">
        <v>0</v>
      </c>
      <c r="J270" s="4" t="n">
        <v>993</v>
      </c>
      <c r="K270" s="4" t="n">
        <f aca="false">H270+J270</f>
        <v>976702</v>
      </c>
      <c r="L270" s="4" t="n">
        <f aca="false">K270/D270*100</f>
        <v>56.7850660291466</v>
      </c>
      <c r="M270" s="4" t="n">
        <v>59.3591496796206</v>
      </c>
      <c r="N270" s="4" t="n">
        <v>54.8293192585521</v>
      </c>
      <c r="O270" s="4" t="n">
        <v>0</v>
      </c>
    </row>
    <row r="271" customFormat="false" ht="15" hidden="false" customHeight="false" outlineLevel="0" collapsed="false">
      <c r="A271" s="1" t="str">
        <f aca="false">A270</f>
        <v>Maharashtra</v>
      </c>
      <c r="B271" s="4" t="n">
        <v>46</v>
      </c>
      <c r="C271" s="4" t="s">
        <v>295</v>
      </c>
      <c r="D271" s="4" t="n">
        <v>1367362</v>
      </c>
      <c r="E271" s="4" t="n">
        <v>444269</v>
      </c>
      <c r="F271" s="4" t="n">
        <v>451748</v>
      </c>
      <c r="G271" s="4" t="n">
        <v>0</v>
      </c>
      <c r="H271" s="4" t="n">
        <f aca="false">E271+F271+G271</f>
        <v>896017</v>
      </c>
      <c r="I271" s="4" t="n">
        <v>0</v>
      </c>
      <c r="J271" s="4" t="n">
        <v>392</v>
      </c>
      <c r="K271" s="4" t="n">
        <f aca="false">H271+J271</f>
        <v>896409</v>
      </c>
      <c r="L271" s="4" t="n">
        <f aca="false">K271/D271*100</f>
        <v>65.5575480377545</v>
      </c>
      <c r="M271" s="4" t="n">
        <v>66.957191429846</v>
      </c>
      <c r="N271" s="4" t="n">
        <v>64.4950730828425</v>
      </c>
      <c r="O271" s="4" t="n">
        <v>0</v>
      </c>
    </row>
    <row r="272" customFormat="false" ht="15" hidden="false" customHeight="false" outlineLevel="0" collapsed="false">
      <c r="A272" s="1" t="str">
        <f aca="false">A271</f>
        <v>Maharashtra</v>
      </c>
      <c r="B272" s="4" t="n">
        <v>47</v>
      </c>
      <c r="C272" s="4" t="s">
        <v>296</v>
      </c>
      <c r="D272" s="4" t="n">
        <v>1758293</v>
      </c>
      <c r="E272" s="4" t="n">
        <v>663565</v>
      </c>
      <c r="F272" s="4" t="n">
        <v>595421</v>
      </c>
      <c r="G272" s="4" t="n">
        <v>0</v>
      </c>
      <c r="H272" s="4" t="n">
        <f aca="false">E272+F272+G272</f>
        <v>1258986</v>
      </c>
      <c r="I272" s="4" t="n">
        <v>0</v>
      </c>
      <c r="J272" s="4" t="n">
        <v>2032</v>
      </c>
      <c r="K272" s="4" t="n">
        <f aca="false">H272+J272</f>
        <v>1261018</v>
      </c>
      <c r="L272" s="4" t="n">
        <f aca="false">K272/D272*100</f>
        <v>71.7183086095435</v>
      </c>
      <c r="M272" s="4" t="n">
        <v>73.5699611176217</v>
      </c>
      <c r="N272" s="4" t="n">
        <v>70.4252689348465</v>
      </c>
      <c r="O272" s="4" t="n">
        <v>0</v>
      </c>
    </row>
    <row r="273" customFormat="false" ht="15" hidden="false" customHeight="false" outlineLevel="0" collapsed="false">
      <c r="A273" s="1" t="str">
        <f aca="false">A272</f>
        <v>Maharashtra</v>
      </c>
      <c r="B273" s="4" t="n">
        <v>48</v>
      </c>
      <c r="C273" s="4" t="s">
        <v>297</v>
      </c>
      <c r="D273" s="4" t="n">
        <v>1630604</v>
      </c>
      <c r="E273" s="4" t="n">
        <v>630470</v>
      </c>
      <c r="F273" s="4" t="n">
        <v>556249</v>
      </c>
      <c r="G273" s="4" t="n">
        <v>8</v>
      </c>
      <c r="H273" s="4" t="n">
        <f aca="false">E273+F273+G273</f>
        <v>1186727</v>
      </c>
      <c r="I273" s="4" t="n">
        <v>0</v>
      </c>
      <c r="J273" s="4" t="n">
        <v>3605</v>
      </c>
      <c r="K273" s="4" t="n">
        <f aca="false">H273+J273</f>
        <v>1190332</v>
      </c>
      <c r="L273" s="4" t="n">
        <f aca="false">K273/D273*100</f>
        <v>72.9994529634418</v>
      </c>
      <c r="M273" s="4" t="n">
        <v>74.4676578836714</v>
      </c>
      <c r="N273" s="4" t="n">
        <v>71.473415054095</v>
      </c>
      <c r="O273" s="4" t="n">
        <v>21.6216216216216</v>
      </c>
    </row>
    <row r="274" customFormat="false" ht="15" hidden="false" customHeight="false" outlineLevel="0" collapsed="false">
      <c r="A274" s="4" t="s">
        <v>298</v>
      </c>
      <c r="B274" s="4" t="n">
        <v>1</v>
      </c>
      <c r="C274" s="4" t="s">
        <v>299</v>
      </c>
      <c r="D274" s="4" t="n">
        <v>855360</v>
      </c>
      <c r="E274" s="4" t="n">
        <v>307043</v>
      </c>
      <c r="F274" s="4" t="n">
        <v>334205</v>
      </c>
      <c r="G274" s="4" t="n">
        <v>0</v>
      </c>
      <c r="H274" s="4" t="n">
        <f aca="false">E274+F274+G274</f>
        <v>641248</v>
      </c>
      <c r="I274" s="4" t="n">
        <v>0</v>
      </c>
      <c r="J274" s="4" t="n">
        <v>66</v>
      </c>
      <c r="K274" s="4" t="n">
        <f aca="false">H274+J274</f>
        <v>641314</v>
      </c>
      <c r="L274" s="4" t="n">
        <f aca="false">K274/D274*100</f>
        <v>74.9759165731388</v>
      </c>
      <c r="M274" s="4" t="n">
        <v>73.9299713952749</v>
      </c>
      <c r="N274" s="4" t="n">
        <v>76.3417280566501</v>
      </c>
      <c r="O274" s="4" t="n">
        <v>0</v>
      </c>
    </row>
    <row r="275" customFormat="false" ht="15" hidden="false" customHeight="false" outlineLevel="0" collapsed="false">
      <c r="A275" s="1" t="str">
        <f aca="false">A274</f>
        <v>Manipur</v>
      </c>
      <c r="B275" s="4" t="n">
        <v>2</v>
      </c>
      <c r="C275" s="4" t="s">
        <v>300</v>
      </c>
      <c r="D275" s="4" t="n">
        <v>919009</v>
      </c>
      <c r="E275" s="4" t="n">
        <v>379493</v>
      </c>
      <c r="F275" s="4" t="n">
        <v>393746</v>
      </c>
      <c r="G275" s="4" t="n">
        <v>0</v>
      </c>
      <c r="H275" s="4" t="n">
        <f aca="false">E275+F275+G275</f>
        <v>773239</v>
      </c>
      <c r="I275" s="4" t="n">
        <v>0</v>
      </c>
      <c r="J275" s="4" t="n">
        <v>578</v>
      </c>
      <c r="K275" s="4" t="n">
        <f aca="false">H275+J275</f>
        <v>773817</v>
      </c>
      <c r="L275" s="4" t="n">
        <f aca="false">K275/D275*100</f>
        <v>84.2012428605161</v>
      </c>
      <c r="M275" s="4" t="n">
        <v>84.5889281192603</v>
      </c>
      <c r="N275" s="4" t="n">
        <v>85.0292935640539</v>
      </c>
      <c r="O275" s="4" t="n">
        <v>0</v>
      </c>
    </row>
    <row r="276" customFormat="false" ht="15" hidden="false" customHeight="false" outlineLevel="0" collapsed="false">
      <c r="A276" s="4" t="s">
        <v>301</v>
      </c>
      <c r="B276" s="4" t="n">
        <v>1</v>
      </c>
      <c r="C276" s="4" t="s">
        <v>302</v>
      </c>
      <c r="D276" s="4" t="n">
        <v>980740</v>
      </c>
      <c r="E276" s="4" t="n">
        <v>292971</v>
      </c>
      <c r="F276" s="4" t="n">
        <v>326895</v>
      </c>
      <c r="G276" s="4" t="n">
        <v>0</v>
      </c>
      <c r="H276" s="4" t="n">
        <f aca="false">E276+F276+G276</f>
        <v>619866</v>
      </c>
      <c r="I276" s="4" t="n">
        <v>0</v>
      </c>
      <c r="J276" s="4" t="n">
        <v>175</v>
      </c>
      <c r="K276" s="4" t="n">
        <f aca="false">H276+J276</f>
        <v>620041</v>
      </c>
      <c r="L276" s="4" t="n">
        <f aca="false">K276/D276*100</f>
        <v>63.2217509227726</v>
      </c>
      <c r="M276" s="4" t="n">
        <v>61.0937913805436</v>
      </c>
      <c r="N276" s="4" t="n">
        <v>65.3818768025793</v>
      </c>
      <c r="O276" s="4" t="n">
        <v>0</v>
      </c>
    </row>
    <row r="277" customFormat="false" ht="15" hidden="false" customHeight="false" outlineLevel="0" collapsed="false">
      <c r="A277" s="1" t="str">
        <f aca="false">A276</f>
        <v>Meghalaya</v>
      </c>
      <c r="B277" s="4" t="n">
        <v>2</v>
      </c>
      <c r="C277" s="4" t="s">
        <v>303</v>
      </c>
      <c r="D277" s="4" t="n">
        <v>586501</v>
      </c>
      <c r="E277" s="4" t="n">
        <v>232357</v>
      </c>
      <c r="F277" s="4" t="n">
        <v>225763</v>
      </c>
      <c r="G277" s="4" t="n">
        <v>0</v>
      </c>
      <c r="H277" s="4" t="n">
        <f aca="false">E277+F277+G277</f>
        <v>458120</v>
      </c>
      <c r="I277" s="4" t="n">
        <v>0</v>
      </c>
      <c r="J277" s="4" t="n">
        <v>134</v>
      </c>
      <c r="K277" s="4" t="n">
        <f aca="false">H277+J277</f>
        <v>458254</v>
      </c>
      <c r="L277" s="4" t="n">
        <f aca="false">K277/D277*100</f>
        <v>78.133541119282</v>
      </c>
      <c r="M277" s="4" t="n">
        <v>78.2109798377596</v>
      </c>
      <c r="N277" s="4" t="n">
        <v>78.0622318115965</v>
      </c>
      <c r="O277" s="4" t="n">
        <v>0</v>
      </c>
    </row>
    <row r="278" customFormat="false" ht="15" hidden="false" customHeight="false" outlineLevel="0" collapsed="false">
      <c r="A278" s="4" t="s">
        <v>304</v>
      </c>
      <c r="B278" s="4" t="n">
        <v>1</v>
      </c>
      <c r="C278" s="4" t="s">
        <v>304</v>
      </c>
      <c r="D278" s="4" t="n">
        <v>702170</v>
      </c>
      <c r="E278" s="4" t="n">
        <v>212673</v>
      </c>
      <c r="F278" s="4" t="n">
        <v>213477</v>
      </c>
      <c r="G278" s="4" t="n">
        <v>0</v>
      </c>
      <c r="H278" s="4" t="n">
        <f aca="false">E278+F278+G278</f>
        <v>426150</v>
      </c>
      <c r="I278" s="4" t="n">
        <v>0</v>
      </c>
      <c r="J278" s="4" t="n">
        <v>8812</v>
      </c>
      <c r="K278" s="4" t="n">
        <f aca="false">H278+J278</f>
        <v>434962</v>
      </c>
      <c r="L278" s="4" t="n">
        <f aca="false">K278/D278*100</f>
        <v>61.9453978381304</v>
      </c>
      <c r="M278" s="4" t="n">
        <v>62.093218804926</v>
      </c>
      <c r="N278" s="4" t="n">
        <v>60.0732775965849</v>
      </c>
      <c r="O278" s="4" t="n">
        <v>0</v>
      </c>
    </row>
    <row r="279" customFormat="false" ht="15" hidden="false" customHeight="false" outlineLevel="0" collapsed="false">
      <c r="A279" s="4" t="s">
        <v>305</v>
      </c>
      <c r="B279" s="4" t="n">
        <v>1</v>
      </c>
      <c r="C279" s="4" t="s">
        <v>305</v>
      </c>
      <c r="D279" s="4" t="n">
        <v>1182972</v>
      </c>
      <c r="E279" s="4" t="n">
        <v>528703</v>
      </c>
      <c r="F279" s="4" t="n">
        <v>510521</v>
      </c>
      <c r="G279" s="4" t="n">
        <v>0</v>
      </c>
      <c r="H279" s="4" t="n">
        <f aca="false">E279+F279+G279</f>
        <v>1039224</v>
      </c>
      <c r="I279" s="4" t="n">
        <v>0</v>
      </c>
      <c r="J279" s="4" t="n">
        <v>738</v>
      </c>
      <c r="K279" s="4" t="n">
        <f aca="false">H279+J279</f>
        <v>1039962</v>
      </c>
      <c r="L279" s="4" t="n">
        <f aca="false">K279/D279*100</f>
        <v>87.9109564723425</v>
      </c>
      <c r="M279" s="4" t="n">
        <v>88.7381860721952</v>
      </c>
      <c r="N279" s="4" t="n">
        <v>87.7492931358984</v>
      </c>
      <c r="O279" s="4" t="n">
        <v>0</v>
      </c>
    </row>
    <row r="280" customFormat="false" ht="15" hidden="false" customHeight="false" outlineLevel="0" collapsed="false">
      <c r="A280" s="4" t="s">
        <v>306</v>
      </c>
      <c r="B280" s="4" t="n">
        <v>1</v>
      </c>
      <c r="C280" s="4" t="s">
        <v>307</v>
      </c>
      <c r="D280" s="4" t="n">
        <v>1430717</v>
      </c>
      <c r="E280" s="4" t="n">
        <v>595871</v>
      </c>
      <c r="F280" s="4" t="n">
        <v>526985</v>
      </c>
      <c r="G280" s="4" t="n">
        <v>8</v>
      </c>
      <c r="H280" s="4" t="n">
        <f aca="false">E280+F280+G280</f>
        <v>1122864</v>
      </c>
      <c r="I280" s="4" t="n">
        <v>0</v>
      </c>
      <c r="J280" s="4" t="n">
        <v>3289</v>
      </c>
      <c r="K280" s="4" t="n">
        <f aca="false">H280+J280</f>
        <v>1126153</v>
      </c>
      <c r="L280" s="4" t="n">
        <f aca="false">K280/D280*100</f>
        <v>78.7124917087027</v>
      </c>
      <c r="M280" s="4" t="n">
        <v>79.3923042076372</v>
      </c>
      <c r="N280" s="4" t="n">
        <v>77.5790239191624</v>
      </c>
      <c r="O280" s="4" t="n">
        <v>8.69565217391304</v>
      </c>
    </row>
    <row r="281" customFormat="false" ht="15" hidden="false" customHeight="false" outlineLevel="0" collapsed="false">
      <c r="A281" s="1" t="str">
        <f aca="false">A280</f>
        <v>Odisha</v>
      </c>
      <c r="B281" s="4" t="n">
        <v>2</v>
      </c>
      <c r="C281" s="4" t="s">
        <v>308</v>
      </c>
      <c r="D281" s="4" t="n">
        <v>1410532</v>
      </c>
      <c r="E281" s="4" t="n">
        <v>515013</v>
      </c>
      <c r="F281" s="4" t="n">
        <v>493933</v>
      </c>
      <c r="G281" s="4" t="n">
        <v>0</v>
      </c>
      <c r="H281" s="4" t="n">
        <f aca="false">E281+F281+G281</f>
        <v>1008946</v>
      </c>
      <c r="I281" s="4" t="n">
        <v>0</v>
      </c>
      <c r="J281" s="4" t="n">
        <v>1777</v>
      </c>
      <c r="K281" s="4" t="n">
        <f aca="false">H281+J281</f>
        <v>1010723</v>
      </c>
      <c r="L281" s="4" t="n">
        <f aca="false">K281/D281*100</f>
        <v>71.6554463138731</v>
      </c>
      <c r="M281" s="4" t="n">
        <v>71.7543138579858</v>
      </c>
      <c r="N281" s="4" t="n">
        <v>71.4307613324946</v>
      </c>
      <c r="O281" s="4" t="n">
        <v>0</v>
      </c>
    </row>
    <row r="282" customFormat="false" ht="15" hidden="false" customHeight="false" outlineLevel="0" collapsed="false">
      <c r="A282" s="1" t="str">
        <f aca="false">A281</f>
        <v>Odisha</v>
      </c>
      <c r="B282" s="4" t="n">
        <v>3</v>
      </c>
      <c r="C282" s="4" t="s">
        <v>309</v>
      </c>
      <c r="D282" s="4" t="n">
        <v>1297098</v>
      </c>
      <c r="E282" s="4" t="n">
        <v>504240</v>
      </c>
      <c r="F282" s="4" t="n">
        <v>476826</v>
      </c>
      <c r="G282" s="4" t="n">
        <v>2</v>
      </c>
      <c r="H282" s="4" t="n">
        <f aca="false">E282+F282+G282</f>
        <v>981068</v>
      </c>
      <c r="I282" s="4" t="n">
        <v>0</v>
      </c>
      <c r="J282" s="4" t="n">
        <v>3629</v>
      </c>
      <c r="K282" s="4" t="n">
        <f aca="false">H282+J282</f>
        <v>984697</v>
      </c>
      <c r="L282" s="4" t="n">
        <f aca="false">K282/D282*100</f>
        <v>75.9153895850583</v>
      </c>
      <c r="M282" s="4" t="n">
        <v>75.4906804401527</v>
      </c>
      <c r="N282" s="4" t="n">
        <v>75.9754941404227</v>
      </c>
      <c r="O282" s="4" t="n">
        <v>2.5</v>
      </c>
    </row>
    <row r="283" customFormat="false" ht="15" hidden="false" customHeight="false" outlineLevel="0" collapsed="false">
      <c r="A283" s="1" t="str">
        <f aca="false">A282</f>
        <v>Odisha</v>
      </c>
      <c r="B283" s="4" t="n">
        <v>4</v>
      </c>
      <c r="C283" s="4" t="s">
        <v>310</v>
      </c>
      <c r="D283" s="4" t="n">
        <v>1346683</v>
      </c>
      <c r="E283" s="4" t="n">
        <v>550293</v>
      </c>
      <c r="F283" s="4" t="n">
        <v>532437</v>
      </c>
      <c r="G283" s="4" t="n">
        <v>0</v>
      </c>
      <c r="H283" s="4" t="n">
        <f aca="false">E283+F283+G283</f>
        <v>1082730</v>
      </c>
      <c r="I283" s="4" t="n">
        <v>0</v>
      </c>
      <c r="J283" s="4" t="n">
        <v>1841</v>
      </c>
      <c r="K283" s="4" t="n">
        <f aca="false">H283+J283</f>
        <v>1084571</v>
      </c>
      <c r="L283" s="4" t="n">
        <f aca="false">K283/D283*100</f>
        <v>80.5364736912844</v>
      </c>
      <c r="M283" s="4" t="n">
        <v>79.709057514952</v>
      </c>
      <c r="N283" s="4" t="n">
        <v>81.3012487517064</v>
      </c>
      <c r="O283" s="4" t="n">
        <v>0</v>
      </c>
    </row>
    <row r="284" customFormat="false" ht="15" hidden="false" customHeight="false" outlineLevel="0" collapsed="false">
      <c r="A284" s="1" t="str">
        <f aca="false">A283</f>
        <v>Odisha</v>
      </c>
      <c r="B284" s="4" t="n">
        <v>5</v>
      </c>
      <c r="C284" s="4" t="s">
        <v>311</v>
      </c>
      <c r="D284" s="4" t="n">
        <v>1327555</v>
      </c>
      <c r="E284" s="4" t="n">
        <v>522251</v>
      </c>
      <c r="F284" s="4" t="n">
        <v>528655</v>
      </c>
      <c r="G284" s="4" t="n">
        <v>0</v>
      </c>
      <c r="H284" s="4" t="n">
        <f aca="false">E284+F284+G284</f>
        <v>1050906</v>
      </c>
      <c r="I284" s="4" t="n">
        <v>0</v>
      </c>
      <c r="J284" s="4" t="n">
        <v>3649</v>
      </c>
      <c r="K284" s="4" t="n">
        <f aca="false">H284+J284</f>
        <v>1054555</v>
      </c>
      <c r="L284" s="4" t="n">
        <f aca="false">K284/D284*100</f>
        <v>79.4358802460162</v>
      </c>
      <c r="M284" s="4" t="n">
        <v>78.0626742300247</v>
      </c>
      <c r="N284" s="4" t="n">
        <v>80.4647474436912</v>
      </c>
      <c r="O284" s="4" t="n">
        <v>0</v>
      </c>
    </row>
    <row r="285" customFormat="false" ht="15" hidden="false" customHeight="false" outlineLevel="0" collapsed="false">
      <c r="A285" s="1" t="str">
        <f aca="false">A284</f>
        <v>Odisha</v>
      </c>
      <c r="B285" s="4" t="n">
        <v>6</v>
      </c>
      <c r="C285" s="4" t="s">
        <v>312</v>
      </c>
      <c r="D285" s="4" t="n">
        <v>1366218</v>
      </c>
      <c r="E285" s="4" t="n">
        <v>531346</v>
      </c>
      <c r="F285" s="4" t="n">
        <v>516773</v>
      </c>
      <c r="G285" s="4" t="n">
        <v>0</v>
      </c>
      <c r="H285" s="4" t="n">
        <f aca="false">E285+F285+G285</f>
        <v>1048119</v>
      </c>
      <c r="I285" s="4" t="n">
        <v>0</v>
      </c>
      <c r="J285" s="4" t="n">
        <v>1742</v>
      </c>
      <c r="K285" s="4" t="n">
        <f aca="false">H285+J285</f>
        <v>1049861</v>
      </c>
      <c r="L285" s="4" t="n">
        <f aca="false">K285/D285*100</f>
        <v>76.8443249905945</v>
      </c>
      <c r="M285" s="4" t="n">
        <v>75.0794108337855</v>
      </c>
      <c r="N285" s="4" t="n">
        <v>78.7630446677468</v>
      </c>
      <c r="O285" s="4" t="n">
        <v>0</v>
      </c>
    </row>
    <row r="286" customFormat="false" ht="15" hidden="false" customHeight="false" outlineLevel="0" collapsed="false">
      <c r="A286" s="1" t="str">
        <f aca="false">A285</f>
        <v>Odisha</v>
      </c>
      <c r="B286" s="4" t="n">
        <v>7</v>
      </c>
      <c r="C286" s="4" t="s">
        <v>313</v>
      </c>
      <c r="D286" s="4" t="n">
        <v>1469498</v>
      </c>
      <c r="E286" s="4" t="n">
        <v>537329</v>
      </c>
      <c r="F286" s="4" t="n">
        <v>541995</v>
      </c>
      <c r="G286" s="4" t="n">
        <v>0</v>
      </c>
      <c r="H286" s="4" t="n">
        <f aca="false">E286+F286+G286</f>
        <v>1079324</v>
      </c>
      <c r="I286" s="4" t="n">
        <v>0</v>
      </c>
      <c r="J286" s="4" t="n">
        <v>2647</v>
      </c>
      <c r="K286" s="4" t="n">
        <f aca="false">H286+J286</f>
        <v>1081971</v>
      </c>
      <c r="L286" s="4" t="n">
        <f aca="false">K286/D286*100</f>
        <v>73.6286133087626</v>
      </c>
      <c r="M286" s="4" t="n">
        <v>69.583634418795</v>
      </c>
      <c r="N286" s="4" t="n">
        <v>78.120000345922</v>
      </c>
      <c r="O286" s="4" t="n">
        <v>0</v>
      </c>
    </row>
    <row r="287" customFormat="false" ht="15" hidden="false" customHeight="false" outlineLevel="0" collapsed="false">
      <c r="A287" s="1" t="str">
        <f aca="false">A286</f>
        <v>Odisha</v>
      </c>
      <c r="B287" s="4" t="n">
        <v>8</v>
      </c>
      <c r="C287" s="4" t="s">
        <v>314</v>
      </c>
      <c r="D287" s="4" t="n">
        <v>1303733</v>
      </c>
      <c r="E287" s="4" t="n">
        <v>522476</v>
      </c>
      <c r="F287" s="4" t="n">
        <v>456676</v>
      </c>
      <c r="G287" s="4" t="n">
        <v>0</v>
      </c>
      <c r="H287" s="4" t="n">
        <f aca="false">E287+F287+G287</f>
        <v>979152</v>
      </c>
      <c r="I287" s="4" t="n">
        <v>0</v>
      </c>
      <c r="J287" s="4" t="n">
        <v>2628</v>
      </c>
      <c r="K287" s="4" t="n">
        <f aca="false">H287+J287</f>
        <v>981780</v>
      </c>
      <c r="L287" s="4" t="n">
        <f aca="false">K287/D287*100</f>
        <v>75.3052964065495</v>
      </c>
      <c r="M287" s="4" t="n">
        <v>75.2579413378812</v>
      </c>
      <c r="N287" s="4" t="n">
        <v>75.298563695512</v>
      </c>
      <c r="O287" s="4" t="n">
        <v>0</v>
      </c>
    </row>
    <row r="288" customFormat="false" ht="15" hidden="false" customHeight="false" outlineLevel="0" collapsed="false">
      <c r="A288" s="1" t="str">
        <f aca="false">A287</f>
        <v>Odisha</v>
      </c>
      <c r="B288" s="4" t="n">
        <v>9</v>
      </c>
      <c r="C288" s="4" t="s">
        <v>315</v>
      </c>
      <c r="D288" s="4" t="n">
        <v>1363471</v>
      </c>
      <c r="E288" s="4" t="n">
        <v>551212</v>
      </c>
      <c r="F288" s="4" t="n">
        <v>488983</v>
      </c>
      <c r="G288" s="4" t="n">
        <v>5</v>
      </c>
      <c r="H288" s="4" t="n">
        <f aca="false">E288+F288+G288</f>
        <v>1040200</v>
      </c>
      <c r="I288" s="4" t="n">
        <v>0</v>
      </c>
      <c r="J288" s="4" t="n">
        <v>1911</v>
      </c>
      <c r="K288" s="4" t="n">
        <f aca="false">H288+J288</f>
        <v>1042111</v>
      </c>
      <c r="L288" s="4" t="n">
        <f aca="false">K288/D288*100</f>
        <v>76.4307418346265</v>
      </c>
      <c r="M288" s="4" t="n">
        <v>76.645470965876</v>
      </c>
      <c r="N288" s="4" t="n">
        <v>76.4174444117996</v>
      </c>
      <c r="O288" s="4" t="n">
        <v>9.25925925925926</v>
      </c>
    </row>
    <row r="289" customFormat="false" ht="15" hidden="false" customHeight="false" outlineLevel="0" collapsed="false">
      <c r="A289" s="1" t="str">
        <f aca="false">A288</f>
        <v>Odisha</v>
      </c>
      <c r="B289" s="4" t="n">
        <v>10</v>
      </c>
      <c r="C289" s="4" t="s">
        <v>316</v>
      </c>
      <c r="D289" s="4" t="n">
        <v>1563025</v>
      </c>
      <c r="E289" s="4" t="n">
        <v>605683</v>
      </c>
      <c r="F289" s="4" t="n">
        <v>563394</v>
      </c>
      <c r="G289" s="4" t="n">
        <v>40</v>
      </c>
      <c r="H289" s="4" t="n">
        <f aca="false">E289+F289+G289</f>
        <v>1169117</v>
      </c>
      <c r="I289" s="4" t="n">
        <v>0</v>
      </c>
      <c r="J289" s="4" t="n">
        <v>1844</v>
      </c>
      <c r="K289" s="4" t="n">
        <f aca="false">H289+J289</f>
        <v>1170961</v>
      </c>
      <c r="L289" s="4" t="n">
        <f aca="false">K289/D289*100</f>
        <v>74.9163321124102</v>
      </c>
      <c r="M289" s="4" t="n">
        <v>74.3505042767777</v>
      </c>
      <c r="N289" s="4" t="n">
        <v>75.3327432161033</v>
      </c>
      <c r="O289" s="4" t="n">
        <v>49.3827160493827</v>
      </c>
    </row>
    <row r="290" customFormat="false" ht="15" hidden="false" customHeight="false" outlineLevel="0" collapsed="false">
      <c r="A290" s="1" t="str">
        <f aca="false">A289</f>
        <v>Odisha</v>
      </c>
      <c r="B290" s="4" t="n">
        <v>11</v>
      </c>
      <c r="C290" s="4" t="s">
        <v>317</v>
      </c>
      <c r="D290" s="4" t="n">
        <v>1474135</v>
      </c>
      <c r="E290" s="4" t="n">
        <v>576088</v>
      </c>
      <c r="F290" s="4" t="n">
        <v>539704</v>
      </c>
      <c r="G290" s="4" t="n">
        <v>11</v>
      </c>
      <c r="H290" s="4" t="n">
        <f aca="false">E290+F290+G290</f>
        <v>1115803</v>
      </c>
      <c r="I290" s="4" t="n">
        <v>0</v>
      </c>
      <c r="J290" s="4" t="n">
        <v>2028</v>
      </c>
      <c r="K290" s="4" t="n">
        <f aca="false">H290+J290</f>
        <v>1117831</v>
      </c>
      <c r="L290" s="4" t="n">
        <f aca="false">K290/D290*100</f>
        <v>75.8296221173773</v>
      </c>
      <c r="M290" s="4" t="n">
        <v>76.7702773835462</v>
      </c>
      <c r="N290" s="4" t="n">
        <v>74.6154505512129</v>
      </c>
      <c r="O290" s="4" t="n">
        <v>22.4489795918367</v>
      </c>
    </row>
    <row r="291" customFormat="false" ht="15" hidden="false" customHeight="false" outlineLevel="0" collapsed="false">
      <c r="A291" s="1" t="str">
        <f aca="false">A290</f>
        <v>Odisha</v>
      </c>
      <c r="B291" s="4" t="n">
        <v>12</v>
      </c>
      <c r="C291" s="4" t="s">
        <v>318</v>
      </c>
      <c r="D291" s="4" t="n">
        <v>1297210</v>
      </c>
      <c r="E291" s="4" t="n">
        <v>512473</v>
      </c>
      <c r="F291" s="4" t="n">
        <v>509104</v>
      </c>
      <c r="G291" s="4" t="n">
        <v>0</v>
      </c>
      <c r="H291" s="4" t="n">
        <f aca="false">E291+F291+G291</f>
        <v>1021577</v>
      </c>
      <c r="I291" s="4" t="n">
        <v>0</v>
      </c>
      <c r="J291" s="4" t="n">
        <v>610</v>
      </c>
      <c r="K291" s="4" t="n">
        <f aca="false">H291+J291</f>
        <v>1022187</v>
      </c>
      <c r="L291" s="4" t="n">
        <f aca="false">K291/D291*100</f>
        <v>78.7988837582196</v>
      </c>
      <c r="M291" s="4" t="n">
        <v>79.3589318731553</v>
      </c>
      <c r="N291" s="4" t="n">
        <v>78.1735989976169</v>
      </c>
      <c r="O291" s="4" t="n">
        <v>0</v>
      </c>
    </row>
    <row r="292" customFormat="false" ht="15" hidden="false" customHeight="false" outlineLevel="0" collapsed="false">
      <c r="A292" s="1" t="str">
        <f aca="false">A291</f>
        <v>Odisha</v>
      </c>
      <c r="B292" s="4" t="n">
        <v>13</v>
      </c>
      <c r="C292" s="4" t="s">
        <v>319</v>
      </c>
      <c r="D292" s="4" t="n">
        <v>1143602</v>
      </c>
      <c r="E292" s="4" t="n">
        <v>422515</v>
      </c>
      <c r="F292" s="4" t="n">
        <v>416406</v>
      </c>
      <c r="G292" s="4" t="n">
        <v>0</v>
      </c>
      <c r="H292" s="4" t="n">
        <f aca="false">E292+F292+G292</f>
        <v>838921</v>
      </c>
      <c r="I292" s="4" t="n">
        <v>0</v>
      </c>
      <c r="J292" s="4" t="n">
        <v>875</v>
      </c>
      <c r="K292" s="4" t="n">
        <f aca="false">H292+J292</f>
        <v>839796</v>
      </c>
      <c r="L292" s="4" t="n">
        <f aca="false">K292/D292*100</f>
        <v>73.4342892020126</v>
      </c>
      <c r="M292" s="4" t="n">
        <v>72.7157731692625</v>
      </c>
      <c r="N292" s="4" t="n">
        <v>74.2718732330808</v>
      </c>
      <c r="O292" s="4" t="n">
        <v>0</v>
      </c>
    </row>
    <row r="293" customFormat="false" ht="15" hidden="false" customHeight="false" outlineLevel="0" collapsed="false">
      <c r="A293" s="1" t="str">
        <f aca="false">A292</f>
        <v>Odisha</v>
      </c>
      <c r="B293" s="4" t="n">
        <v>14</v>
      </c>
      <c r="C293" s="4" t="s">
        <v>320</v>
      </c>
      <c r="D293" s="4" t="n">
        <v>1371617</v>
      </c>
      <c r="E293" s="4" t="n">
        <v>522746</v>
      </c>
      <c r="F293" s="4" t="n">
        <v>455864</v>
      </c>
      <c r="G293" s="4" t="n">
        <v>0</v>
      </c>
      <c r="H293" s="4" t="n">
        <f aca="false">E293+F293+G293</f>
        <v>978610</v>
      </c>
      <c r="I293" s="4" t="n">
        <v>0</v>
      </c>
      <c r="J293" s="4" t="n">
        <v>1946</v>
      </c>
      <c r="K293" s="4" t="n">
        <f aca="false">H293+J293</f>
        <v>980556</v>
      </c>
      <c r="L293" s="4" t="n">
        <f aca="false">K293/D293*100</f>
        <v>71.4890527020298</v>
      </c>
      <c r="M293" s="4" t="n">
        <v>71.6364199468016</v>
      </c>
      <c r="N293" s="4" t="n">
        <v>71.3779745781023</v>
      </c>
      <c r="O293" s="4" t="n">
        <v>0</v>
      </c>
    </row>
    <row r="294" customFormat="false" ht="15" hidden="false" customHeight="false" outlineLevel="0" collapsed="false">
      <c r="A294" s="1" t="str">
        <f aca="false">A293</f>
        <v>Odisha</v>
      </c>
      <c r="B294" s="4" t="n">
        <v>15</v>
      </c>
      <c r="C294" s="4" t="s">
        <v>321</v>
      </c>
      <c r="D294" s="4" t="n">
        <v>1555444</v>
      </c>
      <c r="E294" s="4" t="n">
        <v>577477</v>
      </c>
      <c r="F294" s="4" t="n">
        <v>558439</v>
      </c>
      <c r="G294" s="4" t="n">
        <v>0</v>
      </c>
      <c r="H294" s="4" t="n">
        <f aca="false">E294+F294+G294</f>
        <v>1135916</v>
      </c>
      <c r="I294" s="4" t="n">
        <v>0</v>
      </c>
      <c r="J294" s="4" t="n">
        <v>1691</v>
      </c>
      <c r="K294" s="4" t="n">
        <f aca="false">H294+J294</f>
        <v>1137607</v>
      </c>
      <c r="L294" s="4" t="n">
        <f aca="false">K294/D294*100</f>
        <v>73.137123548003</v>
      </c>
      <c r="M294" s="4" t="n">
        <v>69.9420215078768</v>
      </c>
      <c r="N294" s="4" t="n">
        <v>76.9809422062929</v>
      </c>
      <c r="O294" s="4" t="n">
        <v>0</v>
      </c>
    </row>
    <row r="295" customFormat="false" ht="15" hidden="false" customHeight="false" outlineLevel="0" collapsed="false">
      <c r="A295" s="1" t="str">
        <f aca="false">A294</f>
        <v>Odisha</v>
      </c>
      <c r="B295" s="4" t="n">
        <v>16</v>
      </c>
      <c r="C295" s="4" t="s">
        <v>322</v>
      </c>
      <c r="D295" s="4" t="n">
        <v>1499673</v>
      </c>
      <c r="E295" s="4" t="n">
        <v>587440</v>
      </c>
      <c r="F295" s="4" t="n">
        <v>544083</v>
      </c>
      <c r="G295" s="4" t="n">
        <v>3</v>
      </c>
      <c r="H295" s="4" t="n">
        <f aca="false">E295+F295+G295</f>
        <v>1131526</v>
      </c>
      <c r="I295" s="4" t="n">
        <v>0</v>
      </c>
      <c r="J295" s="4" t="n">
        <v>1342</v>
      </c>
      <c r="K295" s="4" t="n">
        <f aca="false">H295+J295</f>
        <v>1132868</v>
      </c>
      <c r="L295" s="4" t="n">
        <f aca="false">K295/D295*100</f>
        <v>75.5410012716105</v>
      </c>
      <c r="M295" s="4" t="n">
        <v>73.7991803999508</v>
      </c>
      <c r="N295" s="4" t="n">
        <v>77.6545896994912</v>
      </c>
      <c r="O295" s="4" t="n">
        <v>4.28571428571429</v>
      </c>
    </row>
    <row r="296" customFormat="false" ht="15" hidden="false" customHeight="false" outlineLevel="0" collapsed="false">
      <c r="A296" s="1" t="str">
        <f aca="false">A295</f>
        <v>Odisha</v>
      </c>
      <c r="B296" s="4" t="n">
        <v>17</v>
      </c>
      <c r="C296" s="4" t="s">
        <v>323</v>
      </c>
      <c r="D296" s="4" t="n">
        <v>1404581</v>
      </c>
      <c r="E296" s="4" t="n">
        <v>568551</v>
      </c>
      <c r="F296" s="4" t="n">
        <v>469388</v>
      </c>
      <c r="G296" s="4" t="n">
        <v>0</v>
      </c>
      <c r="H296" s="4" t="n">
        <f aca="false">E296+F296+G296</f>
        <v>1037939</v>
      </c>
      <c r="I296" s="4" t="n">
        <v>0</v>
      </c>
      <c r="J296" s="4" t="n">
        <v>1548</v>
      </c>
      <c r="K296" s="4" t="n">
        <f aca="false">H296+J296</f>
        <v>1039487</v>
      </c>
      <c r="L296" s="4" t="n">
        <f aca="false">K296/D296*100</f>
        <v>74.0069102458313</v>
      </c>
      <c r="M296" s="4" t="n">
        <v>76.6908926100082</v>
      </c>
      <c r="N296" s="4" t="n">
        <v>71.0221151634731</v>
      </c>
      <c r="O296" s="4" t="n">
        <v>0</v>
      </c>
    </row>
    <row r="297" customFormat="false" ht="15" hidden="false" customHeight="false" outlineLevel="0" collapsed="false">
      <c r="A297" s="1" t="str">
        <f aca="false">A296</f>
        <v>Odisha</v>
      </c>
      <c r="B297" s="4" t="n">
        <v>18</v>
      </c>
      <c r="C297" s="4" t="s">
        <v>324</v>
      </c>
      <c r="D297" s="4" t="n">
        <v>1527768</v>
      </c>
      <c r="E297" s="4" t="n">
        <v>485138</v>
      </c>
      <c r="F297" s="4" t="n">
        <v>406314</v>
      </c>
      <c r="G297" s="4" t="n">
        <v>8</v>
      </c>
      <c r="H297" s="4" t="n">
        <f aca="false">E297+F297+G297</f>
        <v>891460</v>
      </c>
      <c r="I297" s="4" t="n">
        <v>0</v>
      </c>
      <c r="J297" s="4" t="n">
        <v>498</v>
      </c>
      <c r="K297" s="4" t="n">
        <f aca="false">H297+J297</f>
        <v>891958</v>
      </c>
      <c r="L297" s="4" t="n">
        <f aca="false">K297/D297*100</f>
        <v>58.3830791062517</v>
      </c>
      <c r="M297" s="4" t="n">
        <v>58.1280658325765</v>
      </c>
      <c r="N297" s="4" t="n">
        <v>58.7950823942072</v>
      </c>
      <c r="O297" s="4" t="n">
        <v>3.16205533596838</v>
      </c>
    </row>
    <row r="298" customFormat="false" ht="15" hidden="false" customHeight="false" outlineLevel="0" collapsed="false">
      <c r="A298" s="1" t="str">
        <f aca="false">A297</f>
        <v>Odisha</v>
      </c>
      <c r="B298" s="4" t="n">
        <v>19</v>
      </c>
      <c r="C298" s="4" t="s">
        <v>325</v>
      </c>
      <c r="D298" s="4" t="n">
        <v>1408780</v>
      </c>
      <c r="E298" s="4" t="n">
        <v>449644</v>
      </c>
      <c r="F298" s="4" t="n">
        <v>446046</v>
      </c>
      <c r="G298" s="4" t="n">
        <v>0</v>
      </c>
      <c r="H298" s="4" t="n">
        <f aca="false">E298+F298+G298</f>
        <v>895690</v>
      </c>
      <c r="I298" s="4" t="n">
        <v>0</v>
      </c>
      <c r="J298" s="4" t="n">
        <v>771</v>
      </c>
      <c r="K298" s="4" t="n">
        <f aca="false">H298+J298</f>
        <v>896461</v>
      </c>
      <c r="L298" s="4" t="n">
        <f aca="false">K298/D298*100</f>
        <v>63.6338534050739</v>
      </c>
      <c r="M298" s="4" t="n">
        <v>59.9801241904609</v>
      </c>
      <c r="N298" s="4" t="n">
        <v>67.8769636256561</v>
      </c>
      <c r="O298" s="4" t="n">
        <v>0</v>
      </c>
    </row>
    <row r="299" customFormat="false" ht="15" hidden="false" customHeight="false" outlineLevel="0" collapsed="false">
      <c r="A299" s="1" t="str">
        <f aca="false">A298</f>
        <v>Odisha</v>
      </c>
      <c r="B299" s="4" t="n">
        <v>20</v>
      </c>
      <c r="C299" s="4" t="s">
        <v>326</v>
      </c>
      <c r="D299" s="4" t="n">
        <v>1334268</v>
      </c>
      <c r="E299" s="4" t="n">
        <v>450468</v>
      </c>
      <c r="F299" s="4" t="n">
        <v>454066</v>
      </c>
      <c r="G299" s="4" t="n">
        <v>0</v>
      </c>
      <c r="H299" s="4" t="n">
        <f aca="false">E299+F299+G299</f>
        <v>904534</v>
      </c>
      <c r="I299" s="4" t="n">
        <v>0</v>
      </c>
      <c r="J299" s="4" t="n">
        <v>1399</v>
      </c>
      <c r="K299" s="4" t="n">
        <f aca="false">H299+J299</f>
        <v>905933</v>
      </c>
      <c r="L299" s="4" t="n">
        <f aca="false">K299/D299*100</f>
        <v>67.8973789373649</v>
      </c>
      <c r="M299" s="4" t="n">
        <v>66.5038768387672</v>
      </c>
      <c r="N299" s="4" t="n">
        <v>69.5574247885624</v>
      </c>
      <c r="O299" s="4" t="n">
        <v>0</v>
      </c>
    </row>
    <row r="300" customFormat="false" ht="15" hidden="false" customHeight="false" outlineLevel="0" collapsed="false">
      <c r="A300" s="1" t="str">
        <f aca="false">A299</f>
        <v>Odisha</v>
      </c>
      <c r="B300" s="4" t="n">
        <v>21</v>
      </c>
      <c r="C300" s="4" t="s">
        <v>327</v>
      </c>
      <c r="D300" s="4" t="n">
        <v>1300437</v>
      </c>
      <c r="E300" s="4" t="n">
        <v>485037</v>
      </c>
      <c r="F300" s="4" t="n">
        <v>504205</v>
      </c>
      <c r="G300" s="4" t="n">
        <v>1</v>
      </c>
      <c r="H300" s="4" t="n">
        <f aca="false">E300+F300+G300</f>
        <v>989243</v>
      </c>
      <c r="I300" s="4" t="n">
        <v>0</v>
      </c>
      <c r="J300" s="4" t="n">
        <v>1414</v>
      </c>
      <c r="K300" s="4" t="n">
        <f aca="false">H300+J300</f>
        <v>990657</v>
      </c>
      <c r="L300" s="4" t="n">
        <f aca="false">K300/D300*100</f>
        <v>76.1787768265591</v>
      </c>
      <c r="M300" s="4" t="n">
        <v>77.1139944068796</v>
      </c>
      <c r="N300" s="4" t="n">
        <v>75.1521809119527</v>
      </c>
      <c r="O300" s="4" t="n">
        <v>0.666666666666667</v>
      </c>
    </row>
    <row r="301" customFormat="false" ht="15" hidden="false" customHeight="false" outlineLevel="0" collapsed="false">
      <c r="A301" s="4" t="s">
        <v>328</v>
      </c>
      <c r="B301" s="4" t="n">
        <v>1</v>
      </c>
      <c r="C301" s="4" t="s">
        <v>329</v>
      </c>
      <c r="D301" s="4" t="n">
        <v>1500337</v>
      </c>
      <c r="E301" s="4" t="n">
        <v>532763</v>
      </c>
      <c r="F301" s="4" t="n">
        <v>509586</v>
      </c>
      <c r="G301" s="4" t="n">
        <v>0</v>
      </c>
      <c r="H301" s="4" t="n">
        <f aca="false">E301+F301+G301</f>
        <v>1042349</v>
      </c>
      <c r="I301" s="4" t="n">
        <v>0</v>
      </c>
      <c r="J301" s="4" t="n">
        <v>399</v>
      </c>
      <c r="K301" s="4" t="n">
        <f aca="false">H301+J301</f>
        <v>1042748</v>
      </c>
      <c r="L301" s="4" t="n">
        <f aca="false">K301/D301*100</f>
        <v>69.5009187935777</v>
      </c>
      <c r="M301" s="4" t="n">
        <v>68.7110748845385</v>
      </c>
      <c r="N301" s="4" t="n">
        <v>71.4925461080667</v>
      </c>
      <c r="O301" s="4" t="n">
        <v>0</v>
      </c>
    </row>
    <row r="302" customFormat="false" ht="15" hidden="false" customHeight="false" outlineLevel="0" collapsed="false">
      <c r="A302" s="1" t="str">
        <f aca="false">A301</f>
        <v>Punjab</v>
      </c>
      <c r="B302" s="4" t="n">
        <v>2</v>
      </c>
      <c r="C302" s="4" t="s">
        <v>330</v>
      </c>
      <c r="D302" s="4" t="n">
        <v>1477260</v>
      </c>
      <c r="E302" s="4" t="n">
        <v>537622</v>
      </c>
      <c r="F302" s="4" t="n">
        <v>469488</v>
      </c>
      <c r="G302" s="4" t="n">
        <v>0</v>
      </c>
      <c r="H302" s="4" t="n">
        <f aca="false">E302+F302+G302</f>
        <v>1007110</v>
      </c>
      <c r="I302" s="4" t="n">
        <v>0</v>
      </c>
      <c r="J302" s="4" t="n">
        <v>176</v>
      </c>
      <c r="K302" s="4" t="n">
        <f aca="false">H302+J302</f>
        <v>1007286</v>
      </c>
      <c r="L302" s="4" t="n">
        <f aca="false">K302/D302*100</f>
        <v>68.1861012956419</v>
      </c>
      <c r="M302" s="4" t="n">
        <v>69.3580514487705</v>
      </c>
      <c r="N302" s="4" t="n">
        <v>67.3775333595483</v>
      </c>
      <c r="O302" s="4" t="n">
        <v>0</v>
      </c>
    </row>
    <row r="303" customFormat="false" ht="15" hidden="false" customHeight="false" outlineLevel="0" collapsed="false">
      <c r="A303" s="1" t="str">
        <f aca="false">A302</f>
        <v>Punjab</v>
      </c>
      <c r="B303" s="4" t="n">
        <v>3</v>
      </c>
      <c r="C303" s="4" t="s">
        <v>331</v>
      </c>
      <c r="D303" s="4" t="n">
        <v>1563394</v>
      </c>
      <c r="E303" s="4" t="n">
        <v>534962</v>
      </c>
      <c r="F303" s="4" t="n">
        <v>505352</v>
      </c>
      <c r="G303" s="4" t="n">
        <v>0</v>
      </c>
      <c r="H303" s="4" t="n">
        <f aca="false">E303+F303+G303</f>
        <v>1040314</v>
      </c>
      <c r="I303" s="4" t="n">
        <v>0</v>
      </c>
      <c r="J303" s="4" t="n">
        <v>308</v>
      </c>
      <c r="K303" s="4" t="n">
        <f aca="false">H303+J303</f>
        <v>1040622</v>
      </c>
      <c r="L303" s="4" t="n">
        <f aca="false">K303/D303*100</f>
        <v>66.561724043971</v>
      </c>
      <c r="M303" s="4" t="n">
        <v>66.0381690697215</v>
      </c>
      <c r="N303" s="4" t="n">
        <v>67.9294993117688</v>
      </c>
      <c r="O303" s="4" t="n">
        <v>0</v>
      </c>
    </row>
    <row r="304" customFormat="false" ht="15" hidden="false" customHeight="false" outlineLevel="0" collapsed="false">
      <c r="A304" s="1" t="str">
        <f aca="false">A303</f>
        <v>Punjab</v>
      </c>
      <c r="B304" s="4" t="n">
        <v>4</v>
      </c>
      <c r="C304" s="4" t="s">
        <v>332</v>
      </c>
      <c r="D304" s="4" t="n">
        <v>1551484</v>
      </c>
      <c r="E304" s="4" t="n">
        <v>532265</v>
      </c>
      <c r="F304" s="4" t="n">
        <v>508444</v>
      </c>
      <c r="G304" s="4" t="n">
        <v>0</v>
      </c>
      <c r="H304" s="4" t="n">
        <f aca="false">E304+F304+G304</f>
        <v>1040709</v>
      </c>
      <c r="I304" s="4" t="n">
        <v>0</v>
      </c>
      <c r="J304" s="4" t="n">
        <v>69</v>
      </c>
      <c r="K304" s="4" t="n">
        <f aca="false">H304+J304</f>
        <v>1040778</v>
      </c>
      <c r="L304" s="4" t="n">
        <f aca="false">K304/D304*100</f>
        <v>67.0827414269177</v>
      </c>
      <c r="M304" s="4" t="n">
        <v>65.9914997656732</v>
      </c>
      <c r="N304" s="4" t="n">
        <v>68.5397999253191</v>
      </c>
      <c r="O304" s="4" t="n">
        <v>0</v>
      </c>
    </row>
    <row r="305" customFormat="false" ht="15" hidden="false" customHeight="false" outlineLevel="0" collapsed="false">
      <c r="A305" s="1" t="str">
        <f aca="false">A304</f>
        <v>Punjab</v>
      </c>
      <c r="B305" s="4" t="n">
        <v>5</v>
      </c>
      <c r="C305" s="4" t="s">
        <v>333</v>
      </c>
      <c r="D305" s="4" t="n">
        <v>1485243</v>
      </c>
      <c r="E305" s="4" t="n">
        <v>473084</v>
      </c>
      <c r="F305" s="4" t="n">
        <v>487516</v>
      </c>
      <c r="G305" s="4" t="n">
        <v>0</v>
      </c>
      <c r="H305" s="4" t="n">
        <f aca="false">E305+F305+G305</f>
        <v>960600</v>
      </c>
      <c r="I305" s="4" t="n">
        <v>0</v>
      </c>
      <c r="J305" s="4" t="n">
        <v>962</v>
      </c>
      <c r="K305" s="4" t="n">
        <f aca="false">H305+J305</f>
        <v>961562</v>
      </c>
      <c r="L305" s="4" t="n">
        <f aca="false">K305/D305*100</f>
        <v>64.7410558406941</v>
      </c>
      <c r="M305" s="4" t="n">
        <v>62.7710418142785</v>
      </c>
      <c r="N305" s="4" t="n">
        <v>67.7080165049366</v>
      </c>
      <c r="O305" s="4" t="n">
        <v>0</v>
      </c>
    </row>
    <row r="306" customFormat="false" ht="15" hidden="false" customHeight="false" outlineLevel="0" collapsed="false">
      <c r="A306" s="1" t="str">
        <f aca="false">A305</f>
        <v>Punjab</v>
      </c>
      <c r="B306" s="4" t="n">
        <v>6</v>
      </c>
      <c r="C306" s="4" t="s">
        <v>334</v>
      </c>
      <c r="D306" s="4" t="n">
        <v>1564708</v>
      </c>
      <c r="E306" s="4" t="n">
        <v>554688</v>
      </c>
      <c r="F306" s="4" t="n">
        <v>532346</v>
      </c>
      <c r="G306" s="4" t="n">
        <v>0</v>
      </c>
      <c r="H306" s="4" t="n">
        <f aca="false">E306+F306+G306</f>
        <v>1087034</v>
      </c>
      <c r="I306" s="4" t="n">
        <v>0</v>
      </c>
      <c r="J306" s="4" t="n">
        <v>453</v>
      </c>
      <c r="K306" s="4" t="n">
        <f aca="false">H306+J306</f>
        <v>1087487</v>
      </c>
      <c r="L306" s="4" t="n">
        <f aca="false">K306/D306*100</f>
        <v>69.5009548107379</v>
      </c>
      <c r="M306" s="4" t="n">
        <v>68.3390191346001</v>
      </c>
      <c r="N306" s="4" t="n">
        <v>71.4084888677843</v>
      </c>
      <c r="O306" s="4" t="n">
        <v>0</v>
      </c>
    </row>
    <row r="307" customFormat="false" ht="15" hidden="false" customHeight="false" outlineLevel="0" collapsed="false">
      <c r="A307" s="1" t="str">
        <f aca="false">A306</f>
        <v>Punjab</v>
      </c>
      <c r="B307" s="4" t="n">
        <v>7</v>
      </c>
      <c r="C307" s="4" t="s">
        <v>335</v>
      </c>
      <c r="D307" s="4" t="n">
        <v>1561173</v>
      </c>
      <c r="E307" s="4" t="n">
        <v>601709</v>
      </c>
      <c r="F307" s="4" t="n">
        <v>499984</v>
      </c>
      <c r="G307" s="4" t="n">
        <v>0</v>
      </c>
      <c r="H307" s="4" t="n">
        <f aca="false">E307+F307+G307</f>
        <v>1101693</v>
      </c>
      <c r="I307" s="4" t="n">
        <v>0</v>
      </c>
      <c r="J307" s="4" t="n">
        <v>274</v>
      </c>
      <c r="K307" s="4" t="n">
        <f aca="false">H307+J307</f>
        <v>1101967</v>
      </c>
      <c r="L307" s="4" t="n">
        <f aca="false">K307/D307*100</f>
        <v>70.5858351380661</v>
      </c>
      <c r="M307" s="4" t="n">
        <v>72.0917805576756</v>
      </c>
      <c r="N307" s="4" t="n">
        <v>68.9452419365959</v>
      </c>
      <c r="O307" s="4" t="n">
        <v>0</v>
      </c>
    </row>
    <row r="308" customFormat="false" ht="15" hidden="false" customHeight="false" outlineLevel="0" collapsed="false">
      <c r="A308" s="1" t="str">
        <f aca="false">A307</f>
        <v>Punjab</v>
      </c>
      <c r="B308" s="4" t="n">
        <v>8</v>
      </c>
      <c r="C308" s="4" t="s">
        <v>336</v>
      </c>
      <c r="D308" s="4" t="n">
        <v>1396940</v>
      </c>
      <c r="E308" s="4" t="n">
        <v>551095</v>
      </c>
      <c r="F308" s="4" t="n">
        <v>479741</v>
      </c>
      <c r="G308" s="4" t="n">
        <v>0</v>
      </c>
      <c r="H308" s="4" t="n">
        <f aca="false">E308+F308+G308</f>
        <v>1030836</v>
      </c>
      <c r="I308" s="4" t="n">
        <v>0</v>
      </c>
      <c r="J308" s="4" t="n">
        <v>194</v>
      </c>
      <c r="K308" s="4" t="n">
        <f aca="false">H308+J308</f>
        <v>1031030</v>
      </c>
      <c r="L308" s="4" t="n">
        <f aca="false">K308/D308*100</f>
        <v>73.8063195269661</v>
      </c>
      <c r="M308" s="4" t="n">
        <v>74.6981076578793</v>
      </c>
      <c r="N308" s="4" t="n">
        <v>73.1724094803327</v>
      </c>
      <c r="O308" s="4" t="n">
        <v>0</v>
      </c>
    </row>
    <row r="309" customFormat="false" ht="15" hidden="false" customHeight="false" outlineLevel="0" collapsed="false">
      <c r="A309" s="1" t="str">
        <f aca="false">A308</f>
        <v>Punjab</v>
      </c>
      <c r="B309" s="4" t="n">
        <v>9</v>
      </c>
      <c r="C309" s="4" t="s">
        <v>337</v>
      </c>
      <c r="D309" s="4" t="n">
        <v>1455055</v>
      </c>
      <c r="E309" s="4" t="n">
        <v>547017</v>
      </c>
      <c r="F309" s="4" t="n">
        <v>484634</v>
      </c>
      <c r="G309" s="4" t="n">
        <v>0</v>
      </c>
      <c r="H309" s="4" t="n">
        <f aca="false">E309+F309+G309</f>
        <v>1031651</v>
      </c>
      <c r="I309" s="4" t="n">
        <v>0</v>
      </c>
      <c r="J309" s="4" t="n">
        <v>694</v>
      </c>
      <c r="K309" s="4" t="n">
        <f aca="false">H309+J309</f>
        <v>1032345</v>
      </c>
      <c r="L309" s="4" t="n">
        <f aca="false">K309/D309*100</f>
        <v>70.9488644759133</v>
      </c>
      <c r="M309" s="4" t="n">
        <v>71.5463604699678</v>
      </c>
      <c r="N309" s="4" t="n">
        <v>70.6629398444825</v>
      </c>
      <c r="O309" s="4" t="n">
        <v>0</v>
      </c>
    </row>
    <row r="310" customFormat="false" ht="15" hidden="false" customHeight="false" outlineLevel="0" collapsed="false">
      <c r="A310" s="1" t="str">
        <f aca="false">A309</f>
        <v>Punjab</v>
      </c>
      <c r="B310" s="4" t="n">
        <v>10</v>
      </c>
      <c r="C310" s="4" t="s">
        <v>338</v>
      </c>
      <c r="D310" s="4" t="n">
        <v>1522107</v>
      </c>
      <c r="E310" s="4" t="n">
        <v>590404</v>
      </c>
      <c r="F310" s="4" t="n">
        <v>514569</v>
      </c>
      <c r="G310" s="4" t="n">
        <v>0</v>
      </c>
      <c r="H310" s="4" t="n">
        <f aca="false">E310+F310+G310</f>
        <v>1104973</v>
      </c>
      <c r="I310" s="4" t="n">
        <v>0</v>
      </c>
      <c r="J310" s="4" t="n">
        <v>675</v>
      </c>
      <c r="K310" s="4" t="n">
        <f aca="false">H310+J310</f>
        <v>1105648</v>
      </c>
      <c r="L310" s="4" t="n">
        <f aca="false">K310/D310*100</f>
        <v>72.6393085374419</v>
      </c>
      <c r="M310" s="4" t="n">
        <v>73.2106963277099</v>
      </c>
      <c r="N310" s="4" t="n">
        <v>72.220311888157</v>
      </c>
      <c r="O310" s="4" t="n">
        <v>0</v>
      </c>
    </row>
    <row r="311" customFormat="false" ht="15" hidden="false" customHeight="false" outlineLevel="0" collapsed="false">
      <c r="A311" s="1" t="str">
        <f aca="false">A310</f>
        <v>Punjab</v>
      </c>
      <c r="B311" s="4" t="n">
        <v>11</v>
      </c>
      <c r="C311" s="4" t="s">
        <v>339</v>
      </c>
      <c r="D311" s="4" t="n">
        <v>1525289</v>
      </c>
      <c r="E311" s="4" t="n">
        <v>626895</v>
      </c>
      <c r="F311" s="4" t="n">
        <v>549533</v>
      </c>
      <c r="G311" s="4" t="n">
        <v>0</v>
      </c>
      <c r="H311" s="4" t="n">
        <f aca="false">E311+F311+G311</f>
        <v>1176428</v>
      </c>
      <c r="I311" s="4" t="n">
        <v>0</v>
      </c>
      <c r="J311" s="4" t="n">
        <v>549</v>
      </c>
      <c r="K311" s="4" t="n">
        <f aca="false">H311+J311</f>
        <v>1176977</v>
      </c>
      <c r="L311" s="4" t="n">
        <f aca="false">K311/D311*100</f>
        <v>77.1641964244153</v>
      </c>
      <c r="M311" s="4" t="n">
        <v>77.5917766170755</v>
      </c>
      <c r="N311" s="4" t="n">
        <v>77.3027666961136</v>
      </c>
      <c r="O311" s="4" t="n">
        <v>0</v>
      </c>
    </row>
    <row r="312" customFormat="false" ht="15" hidden="false" customHeight="false" outlineLevel="0" collapsed="false">
      <c r="A312" s="1" t="str">
        <f aca="false">A311</f>
        <v>Punjab</v>
      </c>
      <c r="B312" s="4" t="n">
        <v>12</v>
      </c>
      <c r="C312" s="4" t="s">
        <v>340</v>
      </c>
      <c r="D312" s="4" t="n">
        <v>1424729</v>
      </c>
      <c r="E312" s="4" t="n">
        <v>583555</v>
      </c>
      <c r="F312" s="4" t="n">
        <v>516181</v>
      </c>
      <c r="G312" s="4" t="n">
        <v>0</v>
      </c>
      <c r="H312" s="4" t="n">
        <f aca="false">E312+F312+G312</f>
        <v>1099736</v>
      </c>
      <c r="I312" s="4" t="n">
        <v>0</v>
      </c>
      <c r="J312" s="4" t="n">
        <v>320</v>
      </c>
      <c r="K312" s="4" t="n">
        <f aca="false">H312+J312</f>
        <v>1100056</v>
      </c>
      <c r="L312" s="4" t="n">
        <f aca="false">K312/D312*100</f>
        <v>77.2115960298415</v>
      </c>
      <c r="M312" s="4" t="n">
        <v>77.452806022566</v>
      </c>
      <c r="N312" s="4" t="n">
        <v>77.6196856302057</v>
      </c>
      <c r="O312" s="4" t="n">
        <v>0</v>
      </c>
    </row>
    <row r="313" customFormat="false" ht="15" hidden="false" customHeight="false" outlineLevel="0" collapsed="false">
      <c r="A313" s="1" t="str">
        <f aca="false">A312</f>
        <v>Punjab</v>
      </c>
      <c r="B313" s="4" t="n">
        <v>13</v>
      </c>
      <c r="C313" s="4" t="s">
        <v>341</v>
      </c>
      <c r="D313" s="4" t="n">
        <v>1580273</v>
      </c>
      <c r="E313" s="4" t="n">
        <v>593609</v>
      </c>
      <c r="F313" s="4" t="n">
        <v>527264</v>
      </c>
      <c r="G313" s="4" t="n">
        <v>0</v>
      </c>
      <c r="H313" s="4" t="n">
        <f aca="false">E313+F313+G313</f>
        <v>1120873</v>
      </c>
      <c r="I313" s="4" t="n">
        <v>0</v>
      </c>
      <c r="J313" s="4" t="n">
        <v>117</v>
      </c>
      <c r="K313" s="4" t="n">
        <f aca="false">H313+J313</f>
        <v>1120990</v>
      </c>
      <c r="L313" s="4" t="n">
        <f aca="false">K313/D313*100</f>
        <v>70.9364774314312</v>
      </c>
      <c r="M313" s="4" t="n">
        <v>71.565199779135</v>
      </c>
      <c r="N313" s="4" t="n">
        <v>70.8482483580036</v>
      </c>
      <c r="O313" s="4" t="n">
        <v>0</v>
      </c>
    </row>
    <row r="314" customFormat="false" ht="15" hidden="false" customHeight="false" outlineLevel="0" collapsed="false">
      <c r="A314" s="4" t="s">
        <v>342</v>
      </c>
      <c r="B314" s="4" t="n">
        <v>1</v>
      </c>
      <c r="C314" s="4" t="s">
        <v>343</v>
      </c>
      <c r="D314" s="4" t="n">
        <v>1718413</v>
      </c>
      <c r="E314" s="4" t="n">
        <v>678212</v>
      </c>
      <c r="F314" s="4" t="n">
        <v>573241</v>
      </c>
      <c r="G314" s="4" t="n">
        <v>0</v>
      </c>
      <c r="H314" s="4" t="n">
        <f aca="false">E314+F314+G314</f>
        <v>1251453</v>
      </c>
      <c r="I314" s="4" t="n">
        <v>0</v>
      </c>
      <c r="J314" s="4" t="n">
        <v>5908</v>
      </c>
      <c r="K314" s="4" t="n">
        <f aca="false">H314+J314</f>
        <v>1257361</v>
      </c>
      <c r="L314" s="4" t="n">
        <f aca="false">K314/D314*100</f>
        <v>73.1698957119156</v>
      </c>
      <c r="M314" s="4" t="n">
        <v>74.5872315341581</v>
      </c>
      <c r="N314" s="4" t="n">
        <v>70.8997765060487</v>
      </c>
      <c r="O314" s="4" t="n">
        <v>0</v>
      </c>
    </row>
    <row r="315" customFormat="false" ht="15" hidden="false" customHeight="false" outlineLevel="0" collapsed="false">
      <c r="A315" s="1" t="str">
        <f aca="false">A314</f>
        <v>Rajasthan</v>
      </c>
      <c r="B315" s="4" t="n">
        <v>2</v>
      </c>
      <c r="C315" s="4" t="s">
        <v>344</v>
      </c>
      <c r="D315" s="4" t="n">
        <v>1592355</v>
      </c>
      <c r="E315" s="4" t="n">
        <v>526374</v>
      </c>
      <c r="F315" s="4" t="n">
        <v>402281</v>
      </c>
      <c r="G315" s="4" t="n">
        <v>0</v>
      </c>
      <c r="H315" s="4" t="n">
        <f aca="false">E315+F315+G315</f>
        <v>928655</v>
      </c>
      <c r="I315" s="4" t="n">
        <v>0</v>
      </c>
      <c r="J315" s="4" t="n">
        <v>2111</v>
      </c>
      <c r="K315" s="4" t="n">
        <f aca="false">H315+J315</f>
        <v>930766</v>
      </c>
      <c r="L315" s="4" t="n">
        <f aca="false">K315/D315*100</f>
        <v>58.4521667592968</v>
      </c>
      <c r="M315" s="4" t="n">
        <v>62.1405550898981</v>
      </c>
      <c r="N315" s="4" t="n">
        <v>54.0442396437184</v>
      </c>
      <c r="O315" s="4" t="n">
        <v>0</v>
      </c>
    </row>
    <row r="316" customFormat="false" ht="15" hidden="false" customHeight="false" outlineLevel="0" collapsed="false">
      <c r="A316" s="1" t="str">
        <f aca="false">A315</f>
        <v>Rajasthan</v>
      </c>
      <c r="B316" s="4" t="n">
        <v>3</v>
      </c>
      <c r="C316" s="4" t="s">
        <v>345</v>
      </c>
      <c r="D316" s="4" t="n">
        <v>1753825</v>
      </c>
      <c r="E316" s="4" t="n">
        <v>598297</v>
      </c>
      <c r="F316" s="4" t="n">
        <v>529280</v>
      </c>
      <c r="G316" s="4" t="n">
        <v>1</v>
      </c>
      <c r="H316" s="4" t="n">
        <f aca="false">E316+F316+G316</f>
        <v>1127578</v>
      </c>
      <c r="I316" s="4" t="n">
        <v>0</v>
      </c>
      <c r="J316" s="4" t="n">
        <v>4352</v>
      </c>
      <c r="K316" s="4" t="n">
        <f aca="false">H316+J316</f>
        <v>1131930</v>
      </c>
      <c r="L316" s="4" t="n">
        <f aca="false">K316/D316*100</f>
        <v>64.5406468718373</v>
      </c>
      <c r="M316" s="4" t="n">
        <v>64.7178383289885</v>
      </c>
      <c r="N316" s="4" t="n">
        <v>64.2135274491962</v>
      </c>
      <c r="O316" s="4" t="n">
        <v>100</v>
      </c>
    </row>
    <row r="317" customFormat="false" ht="15" hidden="false" customHeight="false" outlineLevel="0" collapsed="false">
      <c r="A317" s="1" t="str">
        <f aca="false">A316</f>
        <v>Rajasthan</v>
      </c>
      <c r="B317" s="4" t="n">
        <v>4</v>
      </c>
      <c r="C317" s="4" t="s">
        <v>346</v>
      </c>
      <c r="D317" s="4" t="n">
        <v>1697470</v>
      </c>
      <c r="E317" s="4" t="n">
        <v>521812</v>
      </c>
      <c r="F317" s="4" t="n">
        <v>479727</v>
      </c>
      <c r="G317" s="4" t="n">
        <v>0</v>
      </c>
      <c r="H317" s="4" t="n">
        <f aca="false">E317+F317+G317</f>
        <v>1001539</v>
      </c>
      <c r="I317" s="4" t="n">
        <v>0</v>
      </c>
      <c r="J317" s="4" t="n">
        <v>7102</v>
      </c>
      <c r="K317" s="4" t="n">
        <f aca="false">H317+J317</f>
        <v>1008641</v>
      </c>
      <c r="L317" s="4" t="n">
        <f aca="false">K317/D317*100</f>
        <v>59.4202548498648</v>
      </c>
      <c r="M317" s="4" t="n">
        <v>59.6744625933893</v>
      </c>
      <c r="N317" s="4" t="n">
        <v>60.3574439174142</v>
      </c>
      <c r="O317" s="4" t="n">
        <v>0</v>
      </c>
    </row>
    <row r="318" customFormat="false" ht="15" hidden="false" customHeight="false" outlineLevel="0" collapsed="false">
      <c r="A318" s="1" t="str">
        <f aca="false">A317</f>
        <v>Rajasthan</v>
      </c>
      <c r="B318" s="4" t="n">
        <v>5</v>
      </c>
      <c r="C318" s="4" t="s">
        <v>347</v>
      </c>
      <c r="D318" s="4" t="n">
        <v>1769882</v>
      </c>
      <c r="E318" s="4" t="n">
        <v>552960</v>
      </c>
      <c r="F318" s="4" t="n">
        <v>507618</v>
      </c>
      <c r="G318" s="4" t="n">
        <v>0</v>
      </c>
      <c r="H318" s="4" t="n">
        <f aca="false">E318+F318+G318</f>
        <v>1060578</v>
      </c>
      <c r="I318" s="4" t="n">
        <v>0</v>
      </c>
      <c r="J318" s="4" t="n">
        <v>6884</v>
      </c>
      <c r="K318" s="4" t="n">
        <f aca="false">H318+J318</f>
        <v>1067462</v>
      </c>
      <c r="L318" s="4" t="n">
        <f aca="false">K318/D318*100</f>
        <v>60.3126084111822</v>
      </c>
      <c r="M318" s="4" t="n">
        <v>58.9947338323532</v>
      </c>
      <c r="N318" s="4" t="n">
        <v>61.6401827282464</v>
      </c>
      <c r="O318" s="4" t="n">
        <v>0</v>
      </c>
    </row>
    <row r="319" customFormat="false" ht="15" hidden="false" customHeight="false" outlineLevel="0" collapsed="false">
      <c r="A319" s="1" t="str">
        <f aca="false">A318</f>
        <v>Rajasthan</v>
      </c>
      <c r="B319" s="4" t="n">
        <v>6</v>
      </c>
      <c r="C319" s="4" t="s">
        <v>348</v>
      </c>
      <c r="D319" s="4" t="n">
        <v>1700306</v>
      </c>
      <c r="E319" s="4" t="n">
        <v>556476</v>
      </c>
      <c r="F319" s="4" t="n">
        <v>452621</v>
      </c>
      <c r="G319" s="4" t="n">
        <v>0</v>
      </c>
      <c r="H319" s="4" t="n">
        <f aca="false">E319+F319+G319</f>
        <v>1009097</v>
      </c>
      <c r="I319" s="4" t="n">
        <v>0</v>
      </c>
      <c r="J319" s="4" t="n">
        <v>7133</v>
      </c>
      <c r="K319" s="4" t="n">
        <f aca="false">H319+J319</f>
        <v>1016230</v>
      </c>
      <c r="L319" s="4" t="n">
        <f aca="false">K319/D319*100</f>
        <v>59.767477148231</v>
      </c>
      <c r="M319" s="4" t="n">
        <v>61.5356374714563</v>
      </c>
      <c r="N319" s="4" t="n">
        <v>57.1159427605179</v>
      </c>
      <c r="O319" s="4" t="n">
        <v>0</v>
      </c>
    </row>
    <row r="320" customFormat="false" ht="15" hidden="false" customHeight="false" outlineLevel="0" collapsed="false">
      <c r="A320" s="1" t="str">
        <f aca="false">A319</f>
        <v>Rajasthan</v>
      </c>
      <c r="B320" s="4" t="n">
        <v>7</v>
      </c>
      <c r="C320" s="4" t="s">
        <v>349</v>
      </c>
      <c r="D320" s="4" t="n">
        <v>1957816</v>
      </c>
      <c r="E320" s="4" t="n">
        <v>714851</v>
      </c>
      <c r="F320" s="4" t="n">
        <v>578288</v>
      </c>
      <c r="G320" s="4" t="n">
        <v>0</v>
      </c>
      <c r="H320" s="4" t="n">
        <f aca="false">E320+F320+G320</f>
        <v>1293139</v>
      </c>
      <c r="I320" s="4" t="n">
        <v>1</v>
      </c>
      <c r="J320" s="4" t="n">
        <v>5812</v>
      </c>
      <c r="K320" s="4" t="n">
        <f aca="false">H320+J320</f>
        <v>1298951</v>
      </c>
      <c r="L320" s="4" t="n">
        <f aca="false">K320/D320*100</f>
        <v>66.3469396511215</v>
      </c>
      <c r="M320" s="4" t="n">
        <v>68.2819917662454</v>
      </c>
      <c r="N320" s="4" t="n">
        <v>63.5452688395358</v>
      </c>
      <c r="O320" s="4" t="n">
        <v>0</v>
      </c>
    </row>
    <row r="321" customFormat="false" ht="15" hidden="false" customHeight="false" outlineLevel="0" collapsed="false">
      <c r="A321" s="1" t="str">
        <f aca="false">A320</f>
        <v>Rajasthan</v>
      </c>
      <c r="B321" s="4" t="n">
        <v>8</v>
      </c>
      <c r="C321" s="4" t="s">
        <v>350</v>
      </c>
      <c r="D321" s="4" t="n">
        <v>1626442</v>
      </c>
      <c r="E321" s="4" t="n">
        <v>585823</v>
      </c>
      <c r="F321" s="4" t="n">
        <v>473846</v>
      </c>
      <c r="G321" s="4" t="n">
        <v>0</v>
      </c>
      <c r="H321" s="4" t="n">
        <f aca="false">E321+F321+G321</f>
        <v>1059669</v>
      </c>
      <c r="I321" s="4" t="n">
        <v>0</v>
      </c>
      <c r="J321" s="4" t="n">
        <v>3374</v>
      </c>
      <c r="K321" s="4" t="n">
        <f aca="false">H321+J321</f>
        <v>1063043</v>
      </c>
      <c r="L321" s="4" t="n">
        <f aca="false">K321/D321*100</f>
        <v>65.3600312830092</v>
      </c>
      <c r="M321" s="4" t="n">
        <v>67.8657982780512</v>
      </c>
      <c r="N321" s="4" t="n">
        <v>62.8157217605254</v>
      </c>
      <c r="O321" s="4" t="n">
        <v>0</v>
      </c>
    </row>
    <row r="322" customFormat="false" ht="15" hidden="false" customHeight="false" outlineLevel="0" collapsed="false">
      <c r="A322" s="1" t="str">
        <f aca="false">A321</f>
        <v>Rajasthan</v>
      </c>
      <c r="B322" s="4" t="n">
        <v>9</v>
      </c>
      <c r="C322" s="4" t="s">
        <v>351</v>
      </c>
      <c r="D322" s="4" t="n">
        <v>1690705</v>
      </c>
      <c r="E322" s="4" t="n">
        <v>547046</v>
      </c>
      <c r="F322" s="4" t="n">
        <v>413081</v>
      </c>
      <c r="G322" s="4" t="n">
        <v>0</v>
      </c>
      <c r="H322" s="4" t="n">
        <f aca="false">E322+F322+G322</f>
        <v>960127</v>
      </c>
      <c r="I322" s="4" t="n">
        <v>0</v>
      </c>
      <c r="J322" s="4" t="n">
        <v>3548</v>
      </c>
      <c r="K322" s="4" t="n">
        <f aca="false">H322+J322</f>
        <v>963675</v>
      </c>
      <c r="L322" s="4" t="n">
        <f aca="false">K322/D322*100</f>
        <v>56.9984119050929</v>
      </c>
      <c r="M322" s="4" t="n">
        <v>60.3264855112819</v>
      </c>
      <c r="N322" s="4" t="n">
        <v>53.0918321444637</v>
      </c>
      <c r="O322" s="4" t="n">
        <v>0</v>
      </c>
    </row>
    <row r="323" customFormat="false" ht="15" hidden="false" customHeight="false" outlineLevel="0" collapsed="false">
      <c r="A323" s="1" t="str">
        <f aca="false">A322</f>
        <v>Rajasthan</v>
      </c>
      <c r="B323" s="4" t="n">
        <v>10</v>
      </c>
      <c r="C323" s="4" t="s">
        <v>352</v>
      </c>
      <c r="D323" s="4" t="n">
        <v>1549468</v>
      </c>
      <c r="E323" s="4" t="n">
        <v>491202</v>
      </c>
      <c r="F323" s="4" t="n">
        <v>353973</v>
      </c>
      <c r="G323" s="4" t="n">
        <v>0</v>
      </c>
      <c r="H323" s="4" t="n">
        <f aca="false">E323+F323+G323</f>
        <v>845175</v>
      </c>
      <c r="I323" s="4" t="n">
        <v>0</v>
      </c>
      <c r="J323" s="4" t="n">
        <v>1168</v>
      </c>
      <c r="K323" s="4" t="n">
        <f aca="false">H323+J323</f>
        <v>846343</v>
      </c>
      <c r="L323" s="4" t="n">
        <f aca="false">K323/D323*100</f>
        <v>54.6215217093867</v>
      </c>
      <c r="M323" s="4" t="n">
        <v>58.3062991200675</v>
      </c>
      <c r="N323" s="4" t="n">
        <v>50.3929956934904</v>
      </c>
      <c r="O323" s="4" t="n">
        <v>0</v>
      </c>
    </row>
    <row r="324" customFormat="false" ht="15" hidden="false" customHeight="false" outlineLevel="0" collapsed="false">
      <c r="A324" s="1" t="str">
        <f aca="false">A323</f>
        <v>Rajasthan</v>
      </c>
      <c r="B324" s="4" t="n">
        <v>11</v>
      </c>
      <c r="C324" s="4" t="s">
        <v>353</v>
      </c>
      <c r="D324" s="4" t="n">
        <v>1524100</v>
      </c>
      <c r="E324" s="4" t="n">
        <v>518917</v>
      </c>
      <c r="F324" s="4" t="n">
        <v>409839</v>
      </c>
      <c r="G324" s="4" t="n">
        <v>0</v>
      </c>
      <c r="H324" s="4" t="n">
        <f aca="false">E324+F324+G324</f>
        <v>928756</v>
      </c>
      <c r="I324" s="4" t="n">
        <v>0</v>
      </c>
      <c r="J324" s="4" t="n">
        <v>2165</v>
      </c>
      <c r="K324" s="4" t="n">
        <f aca="false">H324+J324</f>
        <v>930921</v>
      </c>
      <c r="L324" s="4" t="n">
        <f aca="false">K324/D324*100</f>
        <v>61.0800472409947</v>
      </c>
      <c r="M324" s="4" t="n">
        <v>63.7838867685651</v>
      </c>
      <c r="N324" s="4" t="n">
        <v>57.8149223917696</v>
      </c>
      <c r="O324" s="4" t="n">
        <v>0</v>
      </c>
    </row>
    <row r="325" customFormat="false" ht="15" hidden="false" customHeight="false" outlineLevel="0" collapsed="false">
      <c r="A325" s="1" t="str">
        <f aca="false">A324</f>
        <v>Rajasthan</v>
      </c>
      <c r="B325" s="4" t="n">
        <v>12</v>
      </c>
      <c r="C325" s="4" t="s">
        <v>354</v>
      </c>
      <c r="D325" s="4" t="n">
        <v>1710775</v>
      </c>
      <c r="E325" s="4" t="n">
        <v>583732</v>
      </c>
      <c r="F325" s="4" t="n">
        <v>459375</v>
      </c>
      <c r="G325" s="4" t="n">
        <v>0</v>
      </c>
      <c r="H325" s="4" t="n">
        <f aca="false">E325+F325+G325</f>
        <v>1043107</v>
      </c>
      <c r="I325" s="4" t="n">
        <v>0</v>
      </c>
      <c r="J325" s="4" t="n">
        <v>818</v>
      </c>
      <c r="K325" s="4" t="n">
        <f aca="false">H325+J325</f>
        <v>1043925</v>
      </c>
      <c r="L325" s="4" t="n">
        <f aca="false">K325/D325*100</f>
        <v>61.0205900834417</v>
      </c>
      <c r="M325" s="4" t="n">
        <v>64.158711840189</v>
      </c>
      <c r="N325" s="4" t="n">
        <v>57.452324732108</v>
      </c>
      <c r="O325" s="4" t="n">
        <v>0</v>
      </c>
    </row>
    <row r="326" customFormat="false" ht="15" hidden="false" customHeight="false" outlineLevel="0" collapsed="false">
      <c r="A326" s="1" t="str">
        <f aca="false">A325</f>
        <v>Rajasthan</v>
      </c>
      <c r="B326" s="4" t="n">
        <v>13</v>
      </c>
      <c r="C326" s="4" t="s">
        <v>355</v>
      </c>
      <c r="D326" s="4" t="n">
        <v>1683261</v>
      </c>
      <c r="E326" s="4" t="n">
        <v>613187</v>
      </c>
      <c r="F326" s="4" t="n">
        <v>540384</v>
      </c>
      <c r="G326" s="4" t="n">
        <v>0</v>
      </c>
      <c r="H326" s="4" t="n">
        <f aca="false">E326+F326+G326</f>
        <v>1153571</v>
      </c>
      <c r="I326" s="4" t="n">
        <v>0</v>
      </c>
      <c r="J326" s="4" t="n">
        <v>3296</v>
      </c>
      <c r="K326" s="4" t="n">
        <f aca="false">H326+J326</f>
        <v>1156867</v>
      </c>
      <c r="L326" s="4" t="n">
        <f aca="false">K326/D326*100</f>
        <v>68.7277255280078</v>
      </c>
      <c r="M326" s="4" t="n">
        <v>70.6951374733677</v>
      </c>
      <c r="N326" s="4" t="n">
        <v>66.4873603834825</v>
      </c>
      <c r="O326" s="4" t="n">
        <v>0</v>
      </c>
    </row>
    <row r="327" customFormat="false" ht="15" hidden="false" customHeight="false" outlineLevel="0" collapsed="false">
      <c r="A327" s="1" t="str">
        <f aca="false">A326</f>
        <v>Rajasthan</v>
      </c>
      <c r="B327" s="4" t="n">
        <v>14</v>
      </c>
      <c r="C327" s="4" t="s">
        <v>356</v>
      </c>
      <c r="D327" s="4" t="n">
        <v>1678660</v>
      </c>
      <c r="E327" s="4" t="n">
        <v>531452</v>
      </c>
      <c r="F327" s="4" t="n">
        <v>469913</v>
      </c>
      <c r="G327" s="4" t="n">
        <v>0</v>
      </c>
      <c r="H327" s="4" t="n">
        <f aca="false">E327+F327+G327</f>
        <v>1001365</v>
      </c>
      <c r="I327" s="4" t="n">
        <v>0</v>
      </c>
      <c r="J327" s="4" t="n">
        <v>4158</v>
      </c>
      <c r="K327" s="4" t="n">
        <f aca="false">H327+J327</f>
        <v>1005523</v>
      </c>
      <c r="L327" s="4" t="n">
        <f aca="false">K327/D327*100</f>
        <v>59.9003371736981</v>
      </c>
      <c r="M327" s="4" t="n">
        <v>60.2507519270078</v>
      </c>
      <c r="N327" s="4" t="n">
        <v>59.5038988600994</v>
      </c>
      <c r="O327" s="4" t="n">
        <v>0</v>
      </c>
    </row>
    <row r="328" customFormat="false" ht="15" hidden="false" customHeight="false" outlineLevel="0" collapsed="false">
      <c r="A328" s="1" t="str">
        <f aca="false">A327</f>
        <v>Rajasthan</v>
      </c>
      <c r="B328" s="4" t="n">
        <v>15</v>
      </c>
      <c r="C328" s="4" t="s">
        <v>357</v>
      </c>
      <c r="D328" s="4" t="n">
        <v>1902094</v>
      </c>
      <c r="E328" s="4" t="n">
        <v>578674</v>
      </c>
      <c r="F328" s="4" t="n">
        <v>512314</v>
      </c>
      <c r="G328" s="4" t="n">
        <v>0</v>
      </c>
      <c r="H328" s="4" t="n">
        <f aca="false">E328+F328+G328</f>
        <v>1090988</v>
      </c>
      <c r="I328" s="4" t="n">
        <v>0</v>
      </c>
      <c r="J328" s="4" t="n">
        <v>6265</v>
      </c>
      <c r="K328" s="4" t="n">
        <f aca="false">H328+J328</f>
        <v>1097253</v>
      </c>
      <c r="L328" s="4" t="n">
        <f aca="false">K328/D328*100</f>
        <v>57.6865812099717</v>
      </c>
      <c r="M328" s="4" t="n">
        <v>58.1062165500206</v>
      </c>
      <c r="N328" s="4" t="n">
        <v>56.7754047201092</v>
      </c>
      <c r="O328" s="4" t="n">
        <v>0</v>
      </c>
    </row>
    <row r="329" customFormat="false" ht="15" hidden="false" customHeight="false" outlineLevel="0" collapsed="false">
      <c r="A329" s="1" t="str">
        <f aca="false">A328</f>
        <v>Rajasthan</v>
      </c>
      <c r="B329" s="4" t="n">
        <v>16</v>
      </c>
      <c r="C329" s="4" t="s">
        <v>358</v>
      </c>
      <c r="D329" s="4" t="n">
        <v>1727791</v>
      </c>
      <c r="E329" s="4" t="n">
        <v>596225</v>
      </c>
      <c r="F329" s="4" t="n">
        <v>475258</v>
      </c>
      <c r="G329" s="4" t="n">
        <v>0</v>
      </c>
      <c r="H329" s="4" t="n">
        <f aca="false">E329+F329+G329</f>
        <v>1071483</v>
      </c>
      <c r="I329" s="4" t="n">
        <v>0</v>
      </c>
      <c r="J329" s="4" t="n">
        <v>8315</v>
      </c>
      <c r="K329" s="4" t="n">
        <f aca="false">H329+J329</f>
        <v>1079798</v>
      </c>
      <c r="L329" s="4" t="n">
        <f aca="false">K329/D329*100</f>
        <v>62.4958690026745</v>
      </c>
      <c r="M329" s="4" t="n">
        <v>65.7648734117875</v>
      </c>
      <c r="N329" s="4" t="n">
        <v>58.277039662054</v>
      </c>
      <c r="O329" s="4" t="n">
        <v>0</v>
      </c>
    </row>
    <row r="330" customFormat="false" ht="15" hidden="false" customHeight="false" outlineLevel="0" collapsed="false">
      <c r="A330" s="1" t="str">
        <f aca="false">A329</f>
        <v>Rajasthan</v>
      </c>
      <c r="B330" s="4" t="n">
        <v>17</v>
      </c>
      <c r="C330" s="4" t="s">
        <v>359</v>
      </c>
      <c r="D330" s="4" t="n">
        <v>1680152</v>
      </c>
      <c r="E330" s="4" t="n">
        <v>653991</v>
      </c>
      <c r="F330" s="4" t="n">
        <v>562013</v>
      </c>
      <c r="G330" s="4" t="n">
        <v>0</v>
      </c>
      <c r="H330" s="4" t="n">
        <f aca="false">E330+F330+G330</f>
        <v>1216004</v>
      </c>
      <c r="I330" s="4" t="n">
        <v>0</v>
      </c>
      <c r="J330" s="4" t="n">
        <v>3170</v>
      </c>
      <c r="K330" s="4" t="n">
        <f aca="false">H330+J330</f>
        <v>1219174</v>
      </c>
      <c r="L330" s="4" t="n">
        <f aca="false">K330/D330*100</f>
        <v>72.5633157000081</v>
      </c>
      <c r="M330" s="4" t="n">
        <v>73.0037551683798</v>
      </c>
      <c r="N330" s="4" t="n">
        <v>71.7905450717953</v>
      </c>
      <c r="O330" s="4" t="n">
        <v>0</v>
      </c>
    </row>
    <row r="331" customFormat="false" ht="15" hidden="false" customHeight="false" outlineLevel="0" collapsed="false">
      <c r="A331" s="1" t="str">
        <f aca="false">A330</f>
        <v>Rajasthan</v>
      </c>
      <c r="B331" s="4" t="n">
        <v>18</v>
      </c>
      <c r="C331" s="4" t="s">
        <v>360</v>
      </c>
      <c r="D331" s="4" t="n">
        <v>1824968</v>
      </c>
      <c r="E331" s="4" t="n">
        <v>581247</v>
      </c>
      <c r="F331" s="4" t="n">
        <v>506374</v>
      </c>
      <c r="G331" s="4" t="n">
        <v>0</v>
      </c>
      <c r="H331" s="4" t="n">
        <f aca="false">E331+F331+G331</f>
        <v>1087621</v>
      </c>
      <c r="I331" s="4" t="n">
        <v>0</v>
      </c>
      <c r="J331" s="4" t="n">
        <v>424</v>
      </c>
      <c r="K331" s="4" t="n">
        <f aca="false">H331+J331</f>
        <v>1088045</v>
      </c>
      <c r="L331" s="4" t="n">
        <f aca="false">K331/D331*100</f>
        <v>59.6199495004844</v>
      </c>
      <c r="M331" s="4" t="n">
        <v>60.2983343568974</v>
      </c>
      <c r="N331" s="4" t="n">
        <v>58.8214658262726</v>
      </c>
      <c r="O331" s="4" t="n">
        <v>0</v>
      </c>
    </row>
    <row r="332" customFormat="false" ht="15" hidden="false" customHeight="false" outlineLevel="0" collapsed="false">
      <c r="A332" s="1" t="str">
        <f aca="false">A331</f>
        <v>Rajasthan</v>
      </c>
      <c r="B332" s="4" t="n">
        <v>19</v>
      </c>
      <c r="C332" s="4" t="s">
        <v>361</v>
      </c>
      <c r="D332" s="4" t="n">
        <v>1817940</v>
      </c>
      <c r="E332" s="4" t="n">
        <v>599307</v>
      </c>
      <c r="F332" s="4" t="n">
        <v>589859</v>
      </c>
      <c r="G332" s="4" t="n">
        <v>0</v>
      </c>
      <c r="H332" s="4" t="n">
        <f aca="false">E332+F332+G332</f>
        <v>1189166</v>
      </c>
      <c r="I332" s="4" t="n">
        <v>0</v>
      </c>
      <c r="J332" s="4" t="n">
        <v>4649</v>
      </c>
      <c r="K332" s="4" t="n">
        <f aca="false">H332+J332</f>
        <v>1193815</v>
      </c>
      <c r="L332" s="4" t="n">
        <f aca="false">K332/D332*100</f>
        <v>65.6685589183362</v>
      </c>
      <c r="M332" s="4" t="n">
        <v>64.4530481214409</v>
      </c>
      <c r="N332" s="4" t="n">
        <v>66.4388059331646</v>
      </c>
      <c r="O332" s="4" t="n">
        <v>0</v>
      </c>
    </row>
    <row r="333" customFormat="false" ht="15" hidden="false" customHeight="false" outlineLevel="0" collapsed="false">
      <c r="A333" s="1" t="str">
        <f aca="false">A332</f>
        <v>Rajasthan</v>
      </c>
      <c r="B333" s="4" t="n">
        <v>20</v>
      </c>
      <c r="C333" s="4" t="s">
        <v>362</v>
      </c>
      <c r="D333" s="4" t="n">
        <v>1698244</v>
      </c>
      <c r="E333" s="4" t="n">
        <v>578240</v>
      </c>
      <c r="F333" s="4" t="n">
        <v>590772</v>
      </c>
      <c r="G333" s="4" t="n">
        <v>0</v>
      </c>
      <c r="H333" s="4" t="n">
        <f aca="false">E333+F333+G333</f>
        <v>1169012</v>
      </c>
      <c r="I333" s="4" t="n">
        <v>0</v>
      </c>
      <c r="J333" s="4" t="n">
        <v>2476</v>
      </c>
      <c r="K333" s="4" t="n">
        <f aca="false">H333+J333</f>
        <v>1171488</v>
      </c>
      <c r="L333" s="4" t="n">
        <f aca="false">K333/D333*100</f>
        <v>68.9823134955872</v>
      </c>
      <c r="M333" s="4" t="n">
        <v>66.7412288447133</v>
      </c>
      <c r="N333" s="4" t="n">
        <v>71.0246891019784</v>
      </c>
      <c r="O333" s="4" t="n">
        <v>0</v>
      </c>
    </row>
    <row r="334" customFormat="false" ht="15" hidden="false" customHeight="false" outlineLevel="0" collapsed="false">
      <c r="A334" s="1" t="str">
        <f aca="false">A333</f>
        <v>Rajasthan</v>
      </c>
      <c r="B334" s="4" t="n">
        <v>21</v>
      </c>
      <c r="C334" s="4" t="s">
        <v>363</v>
      </c>
      <c r="D334" s="4" t="n">
        <v>1819506</v>
      </c>
      <c r="E334" s="4" t="n">
        <v>630617</v>
      </c>
      <c r="F334" s="4" t="n">
        <v>539259</v>
      </c>
      <c r="G334" s="4" t="n">
        <v>0</v>
      </c>
      <c r="H334" s="4" t="n">
        <f aca="false">E334+F334+G334</f>
        <v>1169876</v>
      </c>
      <c r="I334" s="4" t="n">
        <v>0</v>
      </c>
      <c r="J334" s="4" t="n">
        <v>3121</v>
      </c>
      <c r="K334" s="4" t="n">
        <f aca="false">H334+J334</f>
        <v>1172997</v>
      </c>
      <c r="L334" s="4" t="n">
        <f aca="false">K334/D334*100</f>
        <v>64.4678830407814</v>
      </c>
      <c r="M334" s="4" t="n">
        <v>67.8829508157898</v>
      </c>
      <c r="N334" s="4" t="n">
        <v>60.5789872777825</v>
      </c>
      <c r="O334" s="4" t="n">
        <v>0</v>
      </c>
    </row>
    <row r="335" customFormat="false" ht="15" hidden="false" customHeight="false" outlineLevel="0" collapsed="false">
      <c r="A335" s="1" t="str">
        <f aca="false">A334</f>
        <v>Rajasthan</v>
      </c>
      <c r="B335" s="4" t="n">
        <v>22</v>
      </c>
      <c r="C335" s="4" t="s">
        <v>364</v>
      </c>
      <c r="D335" s="4" t="n">
        <v>1701194</v>
      </c>
      <c r="E335" s="4" t="n">
        <v>506425</v>
      </c>
      <c r="F335" s="4" t="n">
        <v>471078</v>
      </c>
      <c r="G335" s="4" t="n">
        <v>0</v>
      </c>
      <c r="H335" s="4" t="n">
        <f aca="false">E335+F335+G335</f>
        <v>977503</v>
      </c>
      <c r="I335" s="4" t="n">
        <v>0</v>
      </c>
      <c r="J335" s="4" t="n">
        <v>5529</v>
      </c>
      <c r="K335" s="4" t="n">
        <f aca="false">H335+J335</f>
        <v>983032</v>
      </c>
      <c r="L335" s="4" t="n">
        <f aca="false">K335/D335*100</f>
        <v>57.7848264219131</v>
      </c>
      <c r="M335" s="4" t="n">
        <v>57.6924610475495</v>
      </c>
      <c r="N335" s="4" t="n">
        <v>57.499234080781</v>
      </c>
      <c r="O335" s="4" t="n">
        <v>0</v>
      </c>
    </row>
    <row r="336" customFormat="false" ht="15" hidden="false" customHeight="false" outlineLevel="0" collapsed="false">
      <c r="A336" s="1" t="str">
        <f aca="false">A335</f>
        <v>Rajasthan</v>
      </c>
      <c r="B336" s="4" t="n">
        <v>23</v>
      </c>
      <c r="C336" s="4" t="s">
        <v>365</v>
      </c>
      <c r="D336" s="4" t="n">
        <v>1754901</v>
      </c>
      <c r="E336" s="4" t="n">
        <v>580533</v>
      </c>
      <c r="F336" s="4" t="n">
        <v>521628</v>
      </c>
      <c r="G336" s="4" t="n">
        <v>0</v>
      </c>
      <c r="H336" s="4" t="n">
        <f aca="false">E336+F336+G336</f>
        <v>1102161</v>
      </c>
      <c r="I336" s="4" t="n">
        <v>0</v>
      </c>
      <c r="J336" s="4" t="n">
        <v>1995</v>
      </c>
      <c r="K336" s="4" t="n">
        <f aca="false">H336+J336</f>
        <v>1104156</v>
      </c>
      <c r="L336" s="4" t="n">
        <f aca="false">K336/D336*100</f>
        <v>62.9184210391355</v>
      </c>
      <c r="M336" s="4" t="n">
        <v>64.2683018633981</v>
      </c>
      <c r="N336" s="4" t="n">
        <v>61.3342300944892</v>
      </c>
      <c r="O336" s="4" t="n">
        <v>0</v>
      </c>
    </row>
    <row r="337" customFormat="false" ht="15" hidden="false" customHeight="false" outlineLevel="0" collapsed="false">
      <c r="A337" s="1" t="str">
        <f aca="false">A336</f>
        <v>Rajasthan</v>
      </c>
      <c r="B337" s="4" t="n">
        <v>24</v>
      </c>
      <c r="C337" s="4" t="s">
        <v>366</v>
      </c>
      <c r="D337" s="4" t="n">
        <v>1744539</v>
      </c>
      <c r="E337" s="4" t="n">
        <v>632156</v>
      </c>
      <c r="F337" s="4" t="n">
        <v>518136</v>
      </c>
      <c r="G337" s="4" t="n">
        <v>0</v>
      </c>
      <c r="H337" s="4" t="n">
        <f aca="false">E337+F337+G337</f>
        <v>1150292</v>
      </c>
      <c r="I337" s="4" t="n">
        <v>0</v>
      </c>
      <c r="J337" s="4" t="n">
        <v>5680</v>
      </c>
      <c r="K337" s="4" t="n">
        <f aca="false">H337+J337</f>
        <v>1155972</v>
      </c>
      <c r="L337" s="4" t="n">
        <f aca="false">K337/D337*100</f>
        <v>66.2623191570954</v>
      </c>
      <c r="M337" s="4" t="n">
        <v>69.2451945616503</v>
      </c>
      <c r="N337" s="4" t="n">
        <v>62.353378654026</v>
      </c>
      <c r="O337" s="4" t="n">
        <v>0</v>
      </c>
    </row>
    <row r="338" customFormat="false" ht="15" hidden="false" customHeight="false" outlineLevel="0" collapsed="false">
      <c r="A338" s="1" t="str">
        <f aca="false">A337</f>
        <v>Rajasthan</v>
      </c>
      <c r="B338" s="4" t="n">
        <v>25</v>
      </c>
      <c r="C338" s="4" t="s">
        <v>367</v>
      </c>
      <c r="D338" s="4" t="n">
        <v>1669844</v>
      </c>
      <c r="E338" s="4" t="n">
        <v>635617</v>
      </c>
      <c r="F338" s="4" t="n">
        <v>510625</v>
      </c>
      <c r="G338" s="4" t="n">
        <v>0</v>
      </c>
      <c r="H338" s="4" t="n">
        <f aca="false">E338+F338+G338</f>
        <v>1146242</v>
      </c>
      <c r="I338" s="4" t="n">
        <v>0</v>
      </c>
      <c r="J338" s="4" t="n">
        <v>165</v>
      </c>
      <c r="K338" s="4" t="n">
        <f aca="false">H338+J338</f>
        <v>1146407</v>
      </c>
      <c r="L338" s="4" t="n">
        <f aca="false">K338/D338*100</f>
        <v>68.6535388934535</v>
      </c>
      <c r="M338" s="4" t="n">
        <v>73.1661469430698</v>
      </c>
      <c r="N338" s="4" t="n">
        <v>63.7692978227585</v>
      </c>
      <c r="O338" s="4" t="n">
        <v>0</v>
      </c>
    </row>
    <row r="339" customFormat="false" ht="15" hidden="false" customHeight="false" outlineLevel="0" collapsed="false">
      <c r="A339" s="4" t="s">
        <v>368</v>
      </c>
      <c r="B339" s="4" t="n">
        <v>1</v>
      </c>
      <c r="C339" s="4" t="s">
        <v>368</v>
      </c>
      <c r="D339" s="4" t="n">
        <v>370769</v>
      </c>
      <c r="E339" s="4" t="n">
        <v>153370</v>
      </c>
      <c r="F339" s="4" t="n">
        <v>146197</v>
      </c>
      <c r="G339" s="4" t="n">
        <v>0</v>
      </c>
      <c r="H339" s="4" t="n">
        <f aca="false">E339+F339+G339</f>
        <v>299567</v>
      </c>
      <c r="I339" s="4" t="n">
        <v>0</v>
      </c>
      <c r="J339" s="4" t="n">
        <v>10528</v>
      </c>
      <c r="K339" s="4" t="n">
        <f aca="false">H339+J339</f>
        <v>310095</v>
      </c>
      <c r="L339" s="4" t="n">
        <f aca="false">K339/D339*100</f>
        <v>83.6356329682363</v>
      </c>
      <c r="M339" s="4" t="n">
        <v>80.5447021258718</v>
      </c>
      <c r="N339" s="4" t="n">
        <v>81.3787920957417</v>
      </c>
      <c r="O339" s="4" t="n">
        <v>0</v>
      </c>
    </row>
    <row r="340" customFormat="false" ht="15" hidden="false" customHeight="false" outlineLevel="0" collapsed="false">
      <c r="A340" s="4" t="s">
        <v>369</v>
      </c>
      <c r="B340" s="4" t="n">
        <v>1</v>
      </c>
      <c r="C340" s="4" t="s">
        <v>370</v>
      </c>
      <c r="D340" s="4" t="n">
        <v>1702833</v>
      </c>
      <c r="E340" s="4" t="n">
        <v>644387</v>
      </c>
      <c r="F340" s="4" t="n">
        <v>609702</v>
      </c>
      <c r="G340" s="4" t="n">
        <v>23</v>
      </c>
      <c r="H340" s="4" t="n">
        <f aca="false">E340+F340+G340</f>
        <v>1254112</v>
      </c>
      <c r="I340" s="4" t="n">
        <v>0</v>
      </c>
      <c r="J340" s="4" t="n">
        <v>328</v>
      </c>
      <c r="K340" s="4" t="n">
        <f aca="false">H340+J340</f>
        <v>1254440</v>
      </c>
      <c r="L340" s="4" t="n">
        <f aca="false">K340/D340*100</f>
        <v>73.6678229750069</v>
      </c>
      <c r="M340" s="4" t="n">
        <v>75.6078730456719</v>
      </c>
      <c r="N340" s="4" t="n">
        <v>71.7653608795907</v>
      </c>
      <c r="O340" s="4" t="n">
        <v>8.77862595419847</v>
      </c>
    </row>
    <row r="341" customFormat="false" ht="15" hidden="false" customHeight="false" outlineLevel="0" collapsed="false">
      <c r="A341" s="1" t="str">
        <f aca="false">A340</f>
        <v>Tamil Nadu</v>
      </c>
      <c r="B341" s="4" t="n">
        <v>2</v>
      </c>
      <c r="C341" s="4" t="s">
        <v>371</v>
      </c>
      <c r="D341" s="4" t="n">
        <v>1422384</v>
      </c>
      <c r="E341" s="4" t="n">
        <v>463981</v>
      </c>
      <c r="F341" s="4" t="n">
        <v>445554</v>
      </c>
      <c r="G341" s="4" t="n">
        <v>4</v>
      </c>
      <c r="H341" s="4" t="n">
        <f aca="false">E341+F341+G341</f>
        <v>909539</v>
      </c>
      <c r="I341" s="4" t="n">
        <v>0</v>
      </c>
      <c r="J341" s="4" t="n">
        <v>913</v>
      </c>
      <c r="K341" s="4" t="n">
        <f aca="false">H341+J341</f>
        <v>910452</v>
      </c>
      <c r="L341" s="4" t="n">
        <f aca="false">K341/D341*100</f>
        <v>64.0088752404414</v>
      </c>
      <c r="M341" s="4" t="n">
        <v>65.5865643813619</v>
      </c>
      <c r="N341" s="4" t="n">
        <v>62.3759631753427</v>
      </c>
      <c r="O341" s="4" t="n">
        <v>1.51515151515152</v>
      </c>
    </row>
    <row r="342" customFormat="false" ht="15" hidden="false" customHeight="false" outlineLevel="0" collapsed="false">
      <c r="A342" s="1" t="str">
        <f aca="false">A341</f>
        <v>Tamil Nadu</v>
      </c>
      <c r="B342" s="4" t="n">
        <v>3</v>
      </c>
      <c r="C342" s="4" t="s">
        <v>372</v>
      </c>
      <c r="D342" s="4" t="n">
        <v>1795743</v>
      </c>
      <c r="E342" s="4" t="n">
        <v>556403</v>
      </c>
      <c r="F342" s="4" t="n">
        <v>527433</v>
      </c>
      <c r="G342" s="4" t="n">
        <v>11</v>
      </c>
      <c r="H342" s="4" t="n">
        <f aca="false">E342+F342+G342</f>
        <v>1083847</v>
      </c>
      <c r="I342" s="4" t="n">
        <v>0</v>
      </c>
      <c r="J342" s="4" t="n">
        <v>1555</v>
      </c>
      <c r="K342" s="4" t="n">
        <f aca="false">H342+J342</f>
        <v>1085402</v>
      </c>
      <c r="L342" s="4" t="n">
        <f aca="false">K342/D342*100</f>
        <v>60.4430589455173</v>
      </c>
      <c r="M342" s="4" t="n">
        <v>61.7573672234863</v>
      </c>
      <c r="N342" s="4" t="n">
        <v>58.987676440293</v>
      </c>
      <c r="O342" s="4" t="n">
        <v>3.51437699680511</v>
      </c>
    </row>
    <row r="343" customFormat="false" ht="15" hidden="false" customHeight="false" outlineLevel="0" collapsed="false">
      <c r="A343" s="1" t="str">
        <f aca="false">A342</f>
        <v>Tamil Nadu</v>
      </c>
      <c r="B343" s="4" t="n">
        <v>4</v>
      </c>
      <c r="C343" s="4" t="s">
        <v>373</v>
      </c>
      <c r="D343" s="4" t="n">
        <v>1328018</v>
      </c>
      <c r="E343" s="4" t="n">
        <v>421903</v>
      </c>
      <c r="F343" s="4" t="n">
        <v>392161</v>
      </c>
      <c r="G343" s="4" t="n">
        <v>15</v>
      </c>
      <c r="H343" s="4" t="n">
        <f aca="false">E343+F343+G343</f>
        <v>814079</v>
      </c>
      <c r="I343" s="4" t="n">
        <v>0</v>
      </c>
      <c r="J343" s="4" t="n">
        <v>1150</v>
      </c>
      <c r="K343" s="4" t="n">
        <f aca="false">H343+J343</f>
        <v>815229</v>
      </c>
      <c r="L343" s="4" t="n">
        <f aca="false">K343/D343*100</f>
        <v>61.3868938523424</v>
      </c>
      <c r="M343" s="4" t="n">
        <v>63.4401488028558</v>
      </c>
      <c r="N343" s="4" t="n">
        <v>59.2051052497294</v>
      </c>
      <c r="O343" s="4" t="n">
        <v>5.95238095238095</v>
      </c>
    </row>
    <row r="344" customFormat="false" ht="15" hidden="false" customHeight="false" outlineLevel="0" collapsed="false">
      <c r="A344" s="1" t="str">
        <f aca="false">A343</f>
        <v>Tamil Nadu</v>
      </c>
      <c r="B344" s="4" t="n">
        <v>5</v>
      </c>
      <c r="C344" s="4" t="s">
        <v>374</v>
      </c>
      <c r="D344" s="4" t="n">
        <v>1946503</v>
      </c>
      <c r="E344" s="4" t="n">
        <v>665892</v>
      </c>
      <c r="F344" s="4" t="n">
        <v>620230</v>
      </c>
      <c r="G344" s="4" t="n">
        <v>5</v>
      </c>
      <c r="H344" s="4" t="n">
        <f aca="false">E344+F344+G344</f>
        <v>1286127</v>
      </c>
      <c r="I344" s="4" t="n">
        <v>0</v>
      </c>
      <c r="J344" s="4" t="n">
        <v>524</v>
      </c>
      <c r="K344" s="4" t="n">
        <f aca="false">H344+J344</f>
        <v>1286651</v>
      </c>
      <c r="L344" s="4" t="n">
        <f aca="false">K344/D344*100</f>
        <v>66.10064305064</v>
      </c>
      <c r="M344" s="4" t="n">
        <v>67.7751981931825</v>
      </c>
      <c r="N344" s="4" t="n">
        <v>64.3923820914365</v>
      </c>
      <c r="O344" s="4" t="n">
        <v>1.89393939393939</v>
      </c>
    </row>
    <row r="345" customFormat="false" ht="15" hidden="false" customHeight="false" outlineLevel="0" collapsed="false">
      <c r="A345" s="1" t="str">
        <f aca="false">A344</f>
        <v>Tamil Nadu</v>
      </c>
      <c r="B345" s="4" t="n">
        <v>6</v>
      </c>
      <c r="C345" s="4" t="s">
        <v>375</v>
      </c>
      <c r="D345" s="4" t="n">
        <v>1480123</v>
      </c>
      <c r="E345" s="4" t="n">
        <v>572957</v>
      </c>
      <c r="F345" s="4" t="n">
        <v>554099</v>
      </c>
      <c r="G345" s="4" t="n">
        <v>0</v>
      </c>
      <c r="H345" s="4" t="n">
        <f aca="false">E345+F345+G345</f>
        <v>1127056</v>
      </c>
      <c r="I345" s="4" t="n">
        <v>0</v>
      </c>
      <c r="J345" s="4" t="n">
        <v>2793</v>
      </c>
      <c r="K345" s="4" t="n">
        <f aca="false">H345+J345</f>
        <v>1129849</v>
      </c>
      <c r="L345" s="4" t="n">
        <f aca="false">K345/D345*100</f>
        <v>76.3348046074549</v>
      </c>
      <c r="M345" s="4" t="n">
        <v>77.7620492719949</v>
      </c>
      <c r="N345" s="4" t="n">
        <v>74.5885574135048</v>
      </c>
      <c r="O345" s="4" t="n">
        <v>0</v>
      </c>
    </row>
    <row r="346" customFormat="false" ht="15" hidden="false" customHeight="false" outlineLevel="0" collapsed="false">
      <c r="A346" s="1" t="str">
        <f aca="false">A345</f>
        <v>Tamil Nadu</v>
      </c>
      <c r="B346" s="4" t="n">
        <v>7</v>
      </c>
      <c r="C346" s="4" t="s">
        <v>376</v>
      </c>
      <c r="D346" s="4" t="n">
        <v>1401813</v>
      </c>
      <c r="E346" s="4" t="n">
        <v>543169</v>
      </c>
      <c r="F346" s="4" t="n">
        <v>543863</v>
      </c>
      <c r="G346" s="4" t="n">
        <v>10</v>
      </c>
      <c r="H346" s="4" t="n">
        <f aca="false">E346+F346+G346</f>
        <v>1087042</v>
      </c>
      <c r="I346" s="4" t="n">
        <v>0</v>
      </c>
      <c r="J346" s="4" t="n">
        <v>2729</v>
      </c>
      <c r="K346" s="4" t="n">
        <f aca="false">H346+J346</f>
        <v>1089771</v>
      </c>
      <c r="L346" s="4" t="n">
        <f aca="false">K346/D346*100</f>
        <v>77.7401122688975</v>
      </c>
      <c r="M346" s="4" t="n">
        <v>78.8816808914487</v>
      </c>
      <c r="N346" s="4" t="n">
        <v>76.9192582776212</v>
      </c>
      <c r="O346" s="4" t="n">
        <v>23.8095238095238</v>
      </c>
    </row>
    <row r="347" customFormat="false" ht="15" hidden="false" customHeight="false" outlineLevel="0" collapsed="false">
      <c r="A347" s="1" t="str">
        <f aca="false">A346</f>
        <v>Tamil Nadu</v>
      </c>
      <c r="B347" s="4" t="n">
        <v>8</v>
      </c>
      <c r="C347" s="4" t="s">
        <v>377</v>
      </c>
      <c r="D347" s="4" t="n">
        <v>1312257</v>
      </c>
      <c r="E347" s="4" t="n">
        <v>483341</v>
      </c>
      <c r="F347" s="4" t="n">
        <v>490341</v>
      </c>
      <c r="G347" s="4" t="n">
        <v>5</v>
      </c>
      <c r="H347" s="4" t="n">
        <f aca="false">E347+F347+G347</f>
        <v>973687</v>
      </c>
      <c r="I347" s="4" t="n">
        <v>0</v>
      </c>
      <c r="J347" s="4" t="n">
        <v>1516</v>
      </c>
      <c r="K347" s="4" t="n">
        <f aca="false">H347+J347</f>
        <v>975203</v>
      </c>
      <c r="L347" s="4" t="n">
        <f aca="false">K347/D347*100</f>
        <v>74.31493983267</v>
      </c>
      <c r="M347" s="4" t="n">
        <v>74.6704382364255</v>
      </c>
      <c r="N347" s="4" t="n">
        <v>74.4580113492279</v>
      </c>
      <c r="O347" s="4" t="n">
        <v>25</v>
      </c>
    </row>
    <row r="348" customFormat="false" ht="15" hidden="false" customHeight="false" outlineLevel="0" collapsed="false">
      <c r="A348" s="1" t="str">
        <f aca="false">A347</f>
        <v>Tamil Nadu</v>
      </c>
      <c r="B348" s="4" t="n">
        <v>9</v>
      </c>
      <c r="C348" s="4" t="s">
        <v>378</v>
      </c>
      <c r="D348" s="4" t="n">
        <v>1379957</v>
      </c>
      <c r="E348" s="4" t="n">
        <v>546295</v>
      </c>
      <c r="F348" s="4" t="n">
        <v>522804</v>
      </c>
      <c r="G348" s="4" t="n">
        <v>18</v>
      </c>
      <c r="H348" s="4" t="n">
        <f aca="false">E348+F348+G348</f>
        <v>1069117</v>
      </c>
      <c r="I348" s="4" t="n">
        <v>0</v>
      </c>
      <c r="J348" s="4" t="n">
        <v>226</v>
      </c>
      <c r="K348" s="4" t="n">
        <f aca="false">H348+J348</f>
        <v>1069343</v>
      </c>
      <c r="L348" s="4" t="n">
        <f aca="false">K348/D348*100</f>
        <v>77.4910377642202</v>
      </c>
      <c r="M348" s="4" t="n">
        <v>77.7524594083757</v>
      </c>
      <c r="N348" s="4" t="n">
        <v>77.635779900981</v>
      </c>
      <c r="O348" s="4" t="n">
        <v>14.2857142857143</v>
      </c>
    </row>
    <row r="349" customFormat="false" ht="15" hidden="false" customHeight="false" outlineLevel="0" collapsed="false">
      <c r="A349" s="1" t="str">
        <f aca="false">A348</f>
        <v>Tamil Nadu</v>
      </c>
      <c r="B349" s="4" t="n">
        <v>10</v>
      </c>
      <c r="C349" s="4" t="s">
        <v>379</v>
      </c>
      <c r="D349" s="4" t="n">
        <v>1358273</v>
      </c>
      <c r="E349" s="4" t="n">
        <v>567657</v>
      </c>
      <c r="F349" s="4" t="n">
        <v>533724</v>
      </c>
      <c r="G349" s="4" t="n">
        <v>35</v>
      </c>
      <c r="H349" s="4" t="n">
        <f aca="false">E349+F349+G349</f>
        <v>1101416</v>
      </c>
      <c r="I349" s="4" t="n">
        <v>0</v>
      </c>
      <c r="J349" s="4" t="n">
        <v>1287</v>
      </c>
      <c r="K349" s="4" t="n">
        <f aca="false">H349+J349</f>
        <v>1102703</v>
      </c>
      <c r="L349" s="4" t="n">
        <f aca="false">K349/D349*100</f>
        <v>81.1841949298852</v>
      </c>
      <c r="M349" s="4" t="n">
        <v>81.60458526866</v>
      </c>
      <c r="N349" s="4" t="n">
        <v>80.6914631454498</v>
      </c>
      <c r="O349" s="4" t="n">
        <v>45.4545454545455</v>
      </c>
    </row>
    <row r="350" customFormat="false" ht="15" hidden="false" customHeight="false" outlineLevel="0" collapsed="false">
      <c r="A350" s="1" t="str">
        <f aca="false">A349</f>
        <v>Tamil Nadu</v>
      </c>
      <c r="B350" s="4" t="n">
        <v>11</v>
      </c>
      <c r="C350" s="4" t="s">
        <v>380</v>
      </c>
      <c r="D350" s="4" t="n">
        <v>1352966</v>
      </c>
      <c r="E350" s="4" t="n">
        <v>527265</v>
      </c>
      <c r="F350" s="4" t="n">
        <v>536809</v>
      </c>
      <c r="G350" s="4" t="n">
        <v>2</v>
      </c>
      <c r="H350" s="4" t="n">
        <f aca="false">E350+F350+G350</f>
        <v>1064076</v>
      </c>
      <c r="I350" s="4" t="n">
        <v>0</v>
      </c>
      <c r="J350" s="4" t="n">
        <v>4480</v>
      </c>
      <c r="K350" s="4" t="n">
        <f aca="false">H350+J350</f>
        <v>1068556</v>
      </c>
      <c r="L350" s="4" t="n">
        <f aca="false">K350/D350*100</f>
        <v>78.9787769980916</v>
      </c>
      <c r="M350" s="4" t="n">
        <v>78.3660784485667</v>
      </c>
      <c r="N350" s="4" t="n">
        <v>79.2842383863388</v>
      </c>
      <c r="O350" s="4" t="n">
        <v>8.69565217391304</v>
      </c>
    </row>
    <row r="351" customFormat="false" ht="15" hidden="false" customHeight="false" outlineLevel="0" collapsed="false">
      <c r="A351" s="1" t="str">
        <f aca="false">A350</f>
        <v>Tamil Nadu</v>
      </c>
      <c r="B351" s="4" t="n">
        <v>12</v>
      </c>
      <c r="C351" s="4" t="s">
        <v>381</v>
      </c>
      <c r="D351" s="4" t="n">
        <v>1369668</v>
      </c>
      <c r="E351" s="4" t="n">
        <v>546222</v>
      </c>
      <c r="F351" s="4" t="n">
        <v>546279</v>
      </c>
      <c r="G351" s="4" t="n">
        <v>1</v>
      </c>
      <c r="H351" s="4" t="n">
        <f aca="false">E351+F351+G351</f>
        <v>1092502</v>
      </c>
      <c r="I351" s="4" t="n">
        <v>0</v>
      </c>
      <c r="J351" s="4" t="n">
        <v>4047</v>
      </c>
      <c r="K351" s="4" t="n">
        <f aca="false">H351+J351</f>
        <v>1096549</v>
      </c>
      <c r="L351" s="4" t="n">
        <f aca="false">K351/D351*100</f>
        <v>80.0594742667566</v>
      </c>
      <c r="M351" s="4" t="n">
        <v>80.2623187852107</v>
      </c>
      <c r="N351" s="4" t="n">
        <v>79.7732151462492</v>
      </c>
      <c r="O351" s="4" t="n">
        <v>3.125</v>
      </c>
    </row>
    <row r="352" customFormat="false" ht="15" hidden="false" customHeight="false" outlineLevel="0" collapsed="false">
      <c r="A352" s="1" t="str">
        <f aca="false">A351</f>
        <v>Tamil Nadu</v>
      </c>
      <c r="B352" s="4" t="n">
        <v>13</v>
      </c>
      <c r="C352" s="4" t="s">
        <v>382</v>
      </c>
      <c r="D352" s="4" t="n">
        <v>1387007</v>
      </c>
      <c r="E352" s="4" t="n">
        <v>535359</v>
      </c>
      <c r="F352" s="4" t="n">
        <v>528788</v>
      </c>
      <c r="G352" s="4" t="n">
        <v>11</v>
      </c>
      <c r="H352" s="4" t="n">
        <f aca="false">E352+F352+G352</f>
        <v>1064158</v>
      </c>
      <c r="I352" s="4" t="n">
        <v>0</v>
      </c>
      <c r="J352" s="4" t="n">
        <v>3964</v>
      </c>
      <c r="K352" s="4" t="n">
        <f aca="false">H352+J352</f>
        <v>1068122</v>
      </c>
      <c r="L352" s="4" t="n">
        <f aca="false">K352/D352*100</f>
        <v>77.0091282884658</v>
      </c>
      <c r="M352" s="4" t="n">
        <v>77.1782096859295</v>
      </c>
      <c r="N352" s="4" t="n">
        <v>76.4854098744789</v>
      </c>
      <c r="O352" s="4" t="n">
        <v>8.27067669172932</v>
      </c>
    </row>
    <row r="353" customFormat="false" ht="15" hidden="false" customHeight="false" outlineLevel="0" collapsed="false">
      <c r="A353" s="1" t="str">
        <f aca="false">A352</f>
        <v>Tamil Nadu</v>
      </c>
      <c r="B353" s="4" t="n">
        <v>14</v>
      </c>
      <c r="C353" s="4" t="s">
        <v>383</v>
      </c>
      <c r="D353" s="4" t="n">
        <v>1412497</v>
      </c>
      <c r="E353" s="4" t="n">
        <v>541221</v>
      </c>
      <c r="F353" s="4" t="n">
        <v>562429</v>
      </c>
      <c r="G353" s="4" t="n">
        <v>12</v>
      </c>
      <c r="H353" s="4" t="n">
        <f aca="false">E353+F353+G353</f>
        <v>1103662</v>
      </c>
      <c r="I353" s="4" t="n">
        <v>0</v>
      </c>
      <c r="J353" s="4" t="n">
        <v>3844</v>
      </c>
      <c r="K353" s="4" t="n">
        <f aca="false">H353+J353</f>
        <v>1107506</v>
      </c>
      <c r="L353" s="4" t="n">
        <f aca="false">K353/D353*100</f>
        <v>78.4076709543454</v>
      </c>
      <c r="M353" s="4" t="n">
        <v>76.5766798251199</v>
      </c>
      <c r="N353" s="4" t="n">
        <v>79.7827083017118</v>
      </c>
      <c r="O353" s="4" t="n">
        <v>9.02255639097744</v>
      </c>
    </row>
    <row r="354" customFormat="false" ht="15" hidden="false" customHeight="false" outlineLevel="0" collapsed="false">
      <c r="A354" s="1" t="str">
        <f aca="false">A353</f>
        <v>Tamil Nadu</v>
      </c>
      <c r="B354" s="4" t="n">
        <v>15</v>
      </c>
      <c r="C354" s="4" t="s">
        <v>384</v>
      </c>
      <c r="D354" s="4" t="n">
        <v>1498350</v>
      </c>
      <c r="E354" s="4" t="n">
        <v>593293</v>
      </c>
      <c r="F354" s="4" t="n">
        <v>555869</v>
      </c>
      <c r="G354" s="4" t="n">
        <v>12</v>
      </c>
      <c r="H354" s="4" t="n">
        <f aca="false">E354+F354+G354</f>
        <v>1149174</v>
      </c>
      <c r="I354" s="4" t="n">
        <v>0</v>
      </c>
      <c r="J354" s="4" t="n">
        <v>1588</v>
      </c>
      <c r="K354" s="4" t="n">
        <f aca="false">H354+J354</f>
        <v>1150762</v>
      </c>
      <c r="L354" s="4" t="n">
        <f aca="false">K354/D354*100</f>
        <v>76.8019488103581</v>
      </c>
      <c r="M354" s="4" t="n">
        <v>78.1233581457697</v>
      </c>
      <c r="N354" s="4" t="n">
        <v>75.3242688029833</v>
      </c>
      <c r="O354" s="4" t="n">
        <v>10.3448275862069</v>
      </c>
    </row>
    <row r="355" customFormat="false" ht="15" hidden="false" customHeight="false" outlineLevel="0" collapsed="false">
      <c r="A355" s="1" t="str">
        <f aca="false">A354</f>
        <v>Tamil Nadu</v>
      </c>
      <c r="B355" s="4" t="n">
        <v>16</v>
      </c>
      <c r="C355" s="4" t="s">
        <v>385</v>
      </c>
      <c r="D355" s="4" t="n">
        <v>1329550</v>
      </c>
      <c r="E355" s="4" t="n">
        <v>532212</v>
      </c>
      <c r="F355" s="4" t="n">
        <v>526436</v>
      </c>
      <c r="G355" s="4" t="n">
        <v>28</v>
      </c>
      <c r="H355" s="4" t="n">
        <f aca="false">E355+F355+G355</f>
        <v>1058676</v>
      </c>
      <c r="I355" s="4" t="n">
        <v>0</v>
      </c>
      <c r="J355" s="4" t="n">
        <v>1348</v>
      </c>
      <c r="K355" s="4" t="n">
        <f aca="false">H355+J355</f>
        <v>1060024</v>
      </c>
      <c r="L355" s="4" t="n">
        <f aca="false">K355/D355*100</f>
        <v>79.7280282802452</v>
      </c>
      <c r="M355" s="4" t="n">
        <v>80.5397037258988</v>
      </c>
      <c r="N355" s="4" t="n">
        <v>78.7823099117651</v>
      </c>
      <c r="O355" s="4" t="n">
        <v>39.4366197183099</v>
      </c>
    </row>
    <row r="356" customFormat="false" ht="15" hidden="false" customHeight="false" outlineLevel="0" collapsed="false">
      <c r="A356" s="1" t="str">
        <f aca="false">A355</f>
        <v>Tamil Nadu</v>
      </c>
      <c r="B356" s="4" t="n">
        <v>17</v>
      </c>
      <c r="C356" s="4" t="s">
        <v>386</v>
      </c>
      <c r="D356" s="4" t="n">
        <v>1321395</v>
      </c>
      <c r="E356" s="4" t="n">
        <v>510564</v>
      </c>
      <c r="F356" s="4" t="n">
        <v>495852</v>
      </c>
      <c r="G356" s="4" t="n">
        <v>13</v>
      </c>
      <c r="H356" s="4" t="n">
        <f aca="false">E356+F356+G356</f>
        <v>1006429</v>
      </c>
      <c r="I356" s="4" t="n">
        <v>0</v>
      </c>
      <c r="J356" s="4" t="n">
        <v>3029</v>
      </c>
      <c r="K356" s="4" t="n">
        <f aca="false">H356+J356</f>
        <v>1009458</v>
      </c>
      <c r="L356" s="4" t="n">
        <f aca="false">K356/D356*100</f>
        <v>76.3933570204216</v>
      </c>
      <c r="M356" s="4" t="n">
        <v>77.7720232509962</v>
      </c>
      <c r="N356" s="4" t="n">
        <v>74.6093126972997</v>
      </c>
      <c r="O356" s="4" t="n">
        <v>19.1176470588235</v>
      </c>
    </row>
    <row r="357" customFormat="false" ht="15" hidden="false" customHeight="false" outlineLevel="0" collapsed="false">
      <c r="A357" s="1" t="str">
        <f aca="false">A356</f>
        <v>Tamil Nadu</v>
      </c>
      <c r="B357" s="4" t="n">
        <v>18</v>
      </c>
      <c r="C357" s="4" t="s">
        <v>387</v>
      </c>
      <c r="D357" s="4" t="n">
        <v>1375589</v>
      </c>
      <c r="E357" s="4" t="n">
        <v>543168</v>
      </c>
      <c r="F357" s="4" t="n">
        <v>505372</v>
      </c>
      <c r="G357" s="4" t="n">
        <v>4</v>
      </c>
      <c r="H357" s="4" t="n">
        <f aca="false">E357+F357+G357</f>
        <v>1048544</v>
      </c>
      <c r="I357" s="4" t="n">
        <v>0</v>
      </c>
      <c r="J357" s="4" t="n">
        <v>2178</v>
      </c>
      <c r="K357" s="4" t="n">
        <f aca="false">H357+J357</f>
        <v>1050722</v>
      </c>
      <c r="L357" s="4" t="n">
        <f aca="false">K357/D357*100</f>
        <v>76.3834255726093</v>
      </c>
      <c r="M357" s="4" t="n">
        <v>77.8680780848371</v>
      </c>
      <c r="N357" s="4" t="n">
        <v>74.5704289881675</v>
      </c>
      <c r="O357" s="4" t="n">
        <v>6.89655172413793</v>
      </c>
    </row>
    <row r="358" customFormat="false" ht="15" hidden="false" customHeight="false" outlineLevel="0" collapsed="false">
      <c r="A358" s="1" t="str">
        <f aca="false">A357</f>
        <v>Tamil Nadu</v>
      </c>
      <c r="B358" s="4" t="n">
        <v>19</v>
      </c>
      <c r="C358" s="4" t="s">
        <v>388</v>
      </c>
      <c r="D358" s="4" t="n">
        <v>1269173</v>
      </c>
      <c r="E358" s="4" t="n">
        <v>472256</v>
      </c>
      <c r="F358" s="4" t="n">
        <v>458764</v>
      </c>
      <c r="G358" s="4" t="n">
        <v>4</v>
      </c>
      <c r="H358" s="4" t="n">
        <f aca="false">E358+F358+G358</f>
        <v>931024</v>
      </c>
      <c r="I358" s="4" t="n">
        <v>0</v>
      </c>
      <c r="J358" s="4" t="n">
        <v>2469</v>
      </c>
      <c r="K358" s="4" t="n">
        <f aca="false">H358+J358</f>
        <v>933493</v>
      </c>
      <c r="L358" s="4" t="n">
        <f aca="false">K358/D358*100</f>
        <v>73.5512810310336</v>
      </c>
      <c r="M358" s="4" t="n">
        <v>75.1991617927826</v>
      </c>
      <c r="N358" s="4" t="n">
        <v>71.7976487085425</v>
      </c>
      <c r="O358" s="4" t="n">
        <v>12.1212121212121</v>
      </c>
    </row>
    <row r="359" customFormat="false" ht="15" hidden="false" customHeight="false" outlineLevel="0" collapsed="false">
      <c r="A359" s="1" t="str">
        <f aca="false">A358</f>
        <v>Tamil Nadu</v>
      </c>
      <c r="B359" s="4" t="n">
        <v>20</v>
      </c>
      <c r="C359" s="4" t="s">
        <v>389</v>
      </c>
      <c r="D359" s="4" t="n">
        <v>1720219</v>
      </c>
      <c r="E359" s="4" t="n">
        <v>608444</v>
      </c>
      <c r="F359" s="4" t="n">
        <v>565861</v>
      </c>
      <c r="G359" s="4" t="n">
        <v>7</v>
      </c>
      <c r="H359" s="4" t="n">
        <f aca="false">E359+F359+G359</f>
        <v>1174312</v>
      </c>
      <c r="I359" s="4" t="n">
        <v>0</v>
      </c>
      <c r="J359" s="4" t="n">
        <v>2315</v>
      </c>
      <c r="K359" s="4" t="n">
        <f aca="false">H359+J359</f>
        <v>1176627</v>
      </c>
      <c r="L359" s="4" t="n">
        <f aca="false">K359/D359*100</f>
        <v>68.3998374625556</v>
      </c>
      <c r="M359" s="4" t="n">
        <v>70.0410730566274</v>
      </c>
      <c r="N359" s="4" t="n">
        <v>66.4955298386793</v>
      </c>
      <c r="O359" s="4" t="n">
        <v>11.4754098360656</v>
      </c>
    </row>
    <row r="360" customFormat="false" ht="15" hidden="false" customHeight="false" outlineLevel="0" collapsed="false">
      <c r="A360" s="1" t="str">
        <f aca="false">A359</f>
        <v>Tamil Nadu</v>
      </c>
      <c r="B360" s="4" t="n">
        <v>21</v>
      </c>
      <c r="C360" s="4" t="s">
        <v>390</v>
      </c>
      <c r="D360" s="4" t="n">
        <v>1381505</v>
      </c>
      <c r="E360" s="4" t="n">
        <v>513435</v>
      </c>
      <c r="F360" s="4" t="n">
        <v>496880</v>
      </c>
      <c r="G360" s="4" t="n">
        <v>6</v>
      </c>
      <c r="H360" s="4" t="n">
        <f aca="false">E360+F360+G360</f>
        <v>1010321</v>
      </c>
      <c r="I360" s="4" t="n">
        <v>0</v>
      </c>
      <c r="J360" s="4" t="n">
        <v>2431</v>
      </c>
      <c r="K360" s="4" t="n">
        <f aca="false">H360+J360</f>
        <v>1012752</v>
      </c>
      <c r="L360" s="4" t="n">
        <f aca="false">K360/D360*100</f>
        <v>73.3078780026131</v>
      </c>
      <c r="M360" s="4" t="n">
        <v>74.7975403280437</v>
      </c>
      <c r="N360" s="4" t="n">
        <v>71.555608679185</v>
      </c>
      <c r="O360" s="4" t="n">
        <v>15.7894736842105</v>
      </c>
    </row>
    <row r="361" customFormat="false" ht="15" hidden="false" customHeight="false" outlineLevel="0" collapsed="false">
      <c r="A361" s="1" t="str">
        <f aca="false">A360</f>
        <v>Tamil Nadu</v>
      </c>
      <c r="B361" s="4" t="n">
        <v>22</v>
      </c>
      <c r="C361" s="4" t="s">
        <v>391</v>
      </c>
      <c r="D361" s="4" t="n">
        <v>1400531</v>
      </c>
      <c r="E361" s="4" t="n">
        <v>538102</v>
      </c>
      <c r="F361" s="4" t="n">
        <v>544003</v>
      </c>
      <c r="G361" s="4" t="n">
        <v>24</v>
      </c>
      <c r="H361" s="4" t="n">
        <f aca="false">E361+F361+G361</f>
        <v>1082129</v>
      </c>
      <c r="I361" s="4" t="n">
        <v>0</v>
      </c>
      <c r="J361" s="4" t="n">
        <v>1560</v>
      </c>
      <c r="K361" s="4" t="n">
        <f aca="false">H361+J361</f>
        <v>1083689</v>
      </c>
      <c r="L361" s="4" t="n">
        <f aca="false">K361/D361*100</f>
        <v>77.3770091486729</v>
      </c>
      <c r="M361" s="4" t="n">
        <v>77.4423538012958</v>
      </c>
      <c r="N361" s="4" t="n">
        <v>77.288413479366</v>
      </c>
      <c r="O361" s="4" t="n">
        <v>22.4299065420561</v>
      </c>
    </row>
    <row r="362" customFormat="false" ht="15" hidden="false" customHeight="false" outlineLevel="0" collapsed="false">
      <c r="A362" s="1" t="str">
        <f aca="false">A361</f>
        <v>Tamil Nadu</v>
      </c>
      <c r="B362" s="4" t="n">
        <v>23</v>
      </c>
      <c r="C362" s="4" t="s">
        <v>392</v>
      </c>
      <c r="D362" s="4" t="n">
        <v>1298322</v>
      </c>
      <c r="E362" s="4" t="n">
        <v>510504</v>
      </c>
      <c r="F362" s="4" t="n">
        <v>533334</v>
      </c>
      <c r="G362" s="4" t="n">
        <v>19</v>
      </c>
      <c r="H362" s="4" t="n">
        <f aca="false">E362+F362+G362</f>
        <v>1043857</v>
      </c>
      <c r="I362" s="4" t="n">
        <v>0</v>
      </c>
      <c r="J362" s="4" t="n">
        <v>3197</v>
      </c>
      <c r="K362" s="4" t="n">
        <f aca="false">H362+J362</f>
        <v>1047054</v>
      </c>
      <c r="L362" s="4" t="n">
        <f aca="false">K362/D362*100</f>
        <v>80.6467116786129</v>
      </c>
      <c r="M362" s="4" t="n">
        <v>79.6455372326318</v>
      </c>
      <c r="N362" s="4" t="n">
        <v>81.2587987933083</v>
      </c>
      <c r="O362" s="4" t="n">
        <v>61.2903225806452</v>
      </c>
    </row>
    <row r="363" customFormat="false" ht="15" hidden="false" customHeight="false" outlineLevel="0" collapsed="false">
      <c r="A363" s="1" t="str">
        <f aca="false">A362</f>
        <v>Tamil Nadu</v>
      </c>
      <c r="B363" s="4" t="n">
        <v>24</v>
      </c>
      <c r="C363" s="4" t="s">
        <v>393</v>
      </c>
      <c r="D363" s="4" t="n">
        <v>1387140</v>
      </c>
      <c r="E363" s="4" t="n">
        <v>490711</v>
      </c>
      <c r="F363" s="4" t="n">
        <v>494904</v>
      </c>
      <c r="G363" s="4" t="n">
        <v>40</v>
      </c>
      <c r="H363" s="4" t="n">
        <f aca="false">E363+F363+G363</f>
        <v>985655</v>
      </c>
      <c r="I363" s="4" t="n">
        <v>0</v>
      </c>
      <c r="J363" s="4" t="n">
        <v>3153</v>
      </c>
      <c r="K363" s="4" t="n">
        <f aca="false">H363+J363</f>
        <v>988808</v>
      </c>
      <c r="L363" s="4" t="n">
        <f aca="false">K363/D363*100</f>
        <v>71.2839367331344</v>
      </c>
      <c r="M363" s="4" t="n">
        <v>71.2495027021062</v>
      </c>
      <c r="N363" s="4" t="n">
        <v>70.9462481507391</v>
      </c>
      <c r="O363" s="4" t="n">
        <v>48.1927710843374</v>
      </c>
    </row>
    <row r="364" customFormat="false" ht="15" hidden="false" customHeight="false" outlineLevel="0" collapsed="false">
      <c r="A364" s="1" t="str">
        <f aca="false">A363</f>
        <v>Tamil Nadu</v>
      </c>
      <c r="B364" s="4" t="n">
        <v>25</v>
      </c>
      <c r="C364" s="4" t="s">
        <v>394</v>
      </c>
      <c r="D364" s="4" t="n">
        <v>1285576</v>
      </c>
      <c r="E364" s="4" t="n">
        <v>498647</v>
      </c>
      <c r="F364" s="4" t="n">
        <v>528957</v>
      </c>
      <c r="G364" s="4" t="n">
        <v>18</v>
      </c>
      <c r="H364" s="4" t="n">
        <f aca="false">E364+F364+G364</f>
        <v>1027622</v>
      </c>
      <c r="I364" s="4" t="n">
        <v>0</v>
      </c>
      <c r="J364" s="4" t="n">
        <v>4044</v>
      </c>
      <c r="K364" s="4" t="n">
        <f aca="false">H364+J364</f>
        <v>1031666</v>
      </c>
      <c r="L364" s="4" t="n">
        <f aca="false">K364/D364*100</f>
        <v>80.2493201491005</v>
      </c>
      <c r="M364" s="4" t="n">
        <v>78.7234613587279</v>
      </c>
      <c r="N364" s="4" t="n">
        <v>81.2745937092346</v>
      </c>
      <c r="O364" s="4" t="n">
        <v>69.2307692307692</v>
      </c>
    </row>
    <row r="365" customFormat="false" ht="15" hidden="false" customHeight="false" outlineLevel="0" collapsed="false">
      <c r="A365" s="1" t="str">
        <f aca="false">A364</f>
        <v>Tamil Nadu</v>
      </c>
      <c r="B365" s="4" t="n">
        <v>26</v>
      </c>
      <c r="C365" s="4" t="s">
        <v>395</v>
      </c>
      <c r="D365" s="4" t="n">
        <v>1247907</v>
      </c>
      <c r="E365" s="4" t="n">
        <v>485201</v>
      </c>
      <c r="F365" s="4" t="n">
        <v>497002</v>
      </c>
      <c r="G365" s="4" t="n">
        <v>5</v>
      </c>
      <c r="H365" s="4" t="n">
        <f aca="false">E365+F365+G365</f>
        <v>982208</v>
      </c>
      <c r="I365" s="4" t="n">
        <v>0</v>
      </c>
      <c r="J365" s="4" t="n">
        <v>2919</v>
      </c>
      <c r="K365" s="4" t="n">
        <f aca="false">H365+J365</f>
        <v>985127</v>
      </c>
      <c r="L365" s="4" t="n">
        <f aca="false">K365/D365*100</f>
        <v>78.9423410558639</v>
      </c>
      <c r="M365" s="4" t="n">
        <v>77.5750647523423</v>
      </c>
      <c r="N365" s="4" t="n">
        <v>79.8851073542223</v>
      </c>
      <c r="O365" s="4" t="n">
        <v>13.1578947368421</v>
      </c>
    </row>
    <row r="366" customFormat="false" ht="15" hidden="false" customHeight="false" outlineLevel="0" collapsed="false">
      <c r="A366" s="1" t="str">
        <f aca="false">A365</f>
        <v>Tamil Nadu</v>
      </c>
      <c r="B366" s="4" t="n">
        <v>27</v>
      </c>
      <c r="C366" s="4" t="s">
        <v>396</v>
      </c>
      <c r="D366" s="4" t="n">
        <v>1366189</v>
      </c>
      <c r="E366" s="4" t="n">
        <v>530346</v>
      </c>
      <c r="F366" s="4" t="n">
        <v>556097</v>
      </c>
      <c r="G366" s="4" t="n">
        <v>1</v>
      </c>
      <c r="H366" s="4" t="n">
        <f aca="false">E366+F366+G366</f>
        <v>1086444</v>
      </c>
      <c r="I366" s="4" t="n">
        <v>0</v>
      </c>
      <c r="J366" s="4" t="n">
        <v>2398</v>
      </c>
      <c r="K366" s="4" t="n">
        <f aca="false">H366+J366</f>
        <v>1088842</v>
      </c>
      <c r="L366" s="4" t="n">
        <f aca="false">K366/D366*100</f>
        <v>79.6992217035857</v>
      </c>
      <c r="M366" s="4" t="n">
        <v>77.3065317843243</v>
      </c>
      <c r="N366" s="4" t="n">
        <v>81.8990490469114</v>
      </c>
      <c r="O366" s="4" t="n">
        <v>4.76190476190476</v>
      </c>
    </row>
    <row r="367" customFormat="false" ht="15" hidden="false" customHeight="false" outlineLevel="0" collapsed="false">
      <c r="A367" s="1" t="str">
        <f aca="false">A366</f>
        <v>Tamil Nadu</v>
      </c>
      <c r="B367" s="4" t="n">
        <v>28</v>
      </c>
      <c r="C367" s="4" t="s">
        <v>397</v>
      </c>
      <c r="D367" s="4" t="n">
        <v>1350316</v>
      </c>
      <c r="E367" s="4" t="n">
        <v>503104</v>
      </c>
      <c r="F367" s="4" t="n">
        <v>520845</v>
      </c>
      <c r="G367" s="4" t="n">
        <v>1</v>
      </c>
      <c r="H367" s="4" t="n">
        <f aca="false">E367+F367+G367</f>
        <v>1023950</v>
      </c>
      <c r="I367" s="4" t="n">
        <v>0</v>
      </c>
      <c r="J367" s="4" t="n">
        <v>2631</v>
      </c>
      <c r="K367" s="4" t="n">
        <f aca="false">H367+J367</f>
        <v>1026581</v>
      </c>
      <c r="L367" s="4" t="n">
        <f aca="false">K367/D367*100</f>
        <v>76.0252414990269</v>
      </c>
      <c r="M367" s="4" t="n">
        <v>74.0311720111127</v>
      </c>
      <c r="N367" s="4" t="n">
        <v>77.7135857215116</v>
      </c>
      <c r="O367" s="4" t="n">
        <v>100</v>
      </c>
    </row>
    <row r="368" customFormat="false" ht="15" hidden="false" customHeight="false" outlineLevel="0" collapsed="false">
      <c r="A368" s="1" t="str">
        <f aca="false">A367</f>
        <v>Tamil Nadu</v>
      </c>
      <c r="B368" s="4" t="n">
        <v>29</v>
      </c>
      <c r="C368" s="4" t="s">
        <v>398</v>
      </c>
      <c r="D368" s="4" t="n">
        <v>1210617</v>
      </c>
      <c r="E368" s="4" t="n">
        <v>452899</v>
      </c>
      <c r="F368" s="4" t="n">
        <v>486855</v>
      </c>
      <c r="G368" s="4" t="n">
        <v>2</v>
      </c>
      <c r="H368" s="4" t="n">
        <f aca="false">E368+F368+G368</f>
        <v>939756</v>
      </c>
      <c r="I368" s="4" t="n">
        <v>0</v>
      </c>
      <c r="J368" s="4" t="n">
        <v>2812</v>
      </c>
      <c r="K368" s="4" t="n">
        <f aca="false">H368+J368</f>
        <v>942568</v>
      </c>
      <c r="L368" s="4" t="n">
        <f aca="false">K368/D368*100</f>
        <v>77.8584804277488</v>
      </c>
      <c r="M368" s="4" t="n">
        <v>74.753448420997</v>
      </c>
      <c r="N368" s="4" t="n">
        <v>80.5969926878246</v>
      </c>
      <c r="O368" s="4" t="n">
        <v>28.5714285714286</v>
      </c>
    </row>
    <row r="369" customFormat="false" ht="15" hidden="false" customHeight="false" outlineLevel="0" collapsed="false">
      <c r="A369" s="1" t="str">
        <f aca="false">A368</f>
        <v>Tamil Nadu</v>
      </c>
      <c r="B369" s="4" t="n">
        <v>30</v>
      </c>
      <c r="C369" s="4" t="s">
        <v>399</v>
      </c>
      <c r="D369" s="4" t="n">
        <v>1340050</v>
      </c>
      <c r="E369" s="4" t="n">
        <v>480904</v>
      </c>
      <c r="F369" s="4" t="n">
        <v>528697</v>
      </c>
      <c r="G369" s="4" t="n">
        <v>3</v>
      </c>
      <c r="H369" s="4" t="n">
        <f aca="false">E369+F369+G369</f>
        <v>1009604</v>
      </c>
      <c r="I369" s="4" t="n">
        <v>0</v>
      </c>
      <c r="J369" s="4" t="n">
        <v>3062</v>
      </c>
      <c r="K369" s="4" t="n">
        <f aca="false">H369+J369</f>
        <v>1012666</v>
      </c>
      <c r="L369" s="4" t="n">
        <f aca="false">K369/D369*100</f>
        <v>75.5692698033655</v>
      </c>
      <c r="M369" s="4" t="n">
        <v>72.6678191071407</v>
      </c>
      <c r="N369" s="4" t="n">
        <v>78.0789832395799</v>
      </c>
      <c r="O369" s="4" t="n">
        <v>21.4285714285714</v>
      </c>
    </row>
    <row r="370" customFormat="false" ht="15" hidden="false" customHeight="false" outlineLevel="0" collapsed="false">
      <c r="A370" s="1" t="str">
        <f aca="false">A369</f>
        <v>Tamil Nadu</v>
      </c>
      <c r="B370" s="4" t="n">
        <v>31</v>
      </c>
      <c r="C370" s="4" t="s">
        <v>400</v>
      </c>
      <c r="D370" s="4" t="n">
        <v>1412367</v>
      </c>
      <c r="E370" s="4" t="n">
        <v>474734</v>
      </c>
      <c r="F370" s="4" t="n">
        <v>551559</v>
      </c>
      <c r="G370" s="4" t="n">
        <v>0</v>
      </c>
      <c r="H370" s="4" t="n">
        <f aca="false">E370+F370+G370</f>
        <v>1026293</v>
      </c>
      <c r="I370" s="4" t="n">
        <v>0</v>
      </c>
      <c r="J370" s="4" t="n">
        <v>1180</v>
      </c>
      <c r="K370" s="4" t="n">
        <f aca="false">H370+J370</f>
        <v>1027473</v>
      </c>
      <c r="L370" s="4" t="n">
        <f aca="false">K370/D370*100</f>
        <v>72.7483012559767</v>
      </c>
      <c r="M370" s="4" t="n">
        <v>67.5358780884746</v>
      </c>
      <c r="N370" s="4" t="n">
        <v>77.9752909093222</v>
      </c>
      <c r="O370" s="4" t="n">
        <v>0</v>
      </c>
    </row>
    <row r="371" customFormat="false" ht="15" hidden="false" customHeight="false" outlineLevel="0" collapsed="false">
      <c r="A371" s="1" t="str">
        <f aca="false">A370</f>
        <v>Tamil Nadu</v>
      </c>
      <c r="B371" s="4" t="n">
        <v>32</v>
      </c>
      <c r="C371" s="4" t="s">
        <v>401</v>
      </c>
      <c r="D371" s="4" t="n">
        <v>1441434</v>
      </c>
      <c r="E371" s="4" t="n">
        <v>483389</v>
      </c>
      <c r="F371" s="4" t="n">
        <v>490525</v>
      </c>
      <c r="G371" s="4" t="n">
        <v>26</v>
      </c>
      <c r="H371" s="4" t="n">
        <f aca="false">E371+F371+G371</f>
        <v>973940</v>
      </c>
      <c r="I371" s="4" t="n">
        <v>0</v>
      </c>
      <c r="J371" s="4" t="n">
        <v>2445</v>
      </c>
      <c r="K371" s="4" t="n">
        <f aca="false">H371+J371</f>
        <v>976385</v>
      </c>
      <c r="L371" s="4" t="n">
        <f aca="false">K371/D371*100</f>
        <v>67.7370590675674</v>
      </c>
      <c r="M371" s="4" t="n">
        <v>67.5105443982012</v>
      </c>
      <c r="N371" s="4" t="n">
        <v>67.7783780721523</v>
      </c>
      <c r="O371" s="4" t="n">
        <v>49.0566037735849</v>
      </c>
    </row>
    <row r="372" customFormat="false" ht="15" hidden="false" customHeight="false" outlineLevel="0" collapsed="false">
      <c r="A372" s="1" t="str">
        <f aca="false">A371</f>
        <v>Tamil Nadu</v>
      </c>
      <c r="B372" s="4" t="n">
        <v>33</v>
      </c>
      <c r="C372" s="4" t="s">
        <v>402</v>
      </c>
      <c r="D372" s="4" t="n">
        <v>1441302</v>
      </c>
      <c r="E372" s="4" t="n">
        <v>528940</v>
      </c>
      <c r="F372" s="4" t="n">
        <v>546154</v>
      </c>
      <c r="G372" s="4" t="n">
        <v>13</v>
      </c>
      <c r="H372" s="4" t="n">
        <f aca="false">E372+F372+G372</f>
        <v>1075107</v>
      </c>
      <c r="I372" s="4" t="n">
        <v>0</v>
      </c>
      <c r="J372" s="4" t="n">
        <v>1583</v>
      </c>
      <c r="K372" s="4" t="n">
        <f aca="false">H372+J372</f>
        <v>1076690</v>
      </c>
      <c r="L372" s="4" t="n">
        <f aca="false">K372/D372*100</f>
        <v>74.7025952923121</v>
      </c>
      <c r="M372" s="4" t="n">
        <v>74.0402718384087</v>
      </c>
      <c r="N372" s="4" t="n">
        <v>76.0074761360679</v>
      </c>
      <c r="O372" s="4" t="n">
        <v>12.8712871287129</v>
      </c>
    </row>
    <row r="373" customFormat="false" ht="15" hidden="false" customHeight="false" outlineLevel="0" collapsed="false">
      <c r="A373" s="1" t="str">
        <f aca="false">A372</f>
        <v>Tamil Nadu</v>
      </c>
      <c r="B373" s="4" t="n">
        <v>34</v>
      </c>
      <c r="C373" s="4" t="s">
        <v>403</v>
      </c>
      <c r="D373" s="4" t="n">
        <v>1350490</v>
      </c>
      <c r="E373" s="4" t="n">
        <v>496203</v>
      </c>
      <c r="F373" s="4" t="n">
        <v>512880</v>
      </c>
      <c r="G373" s="4" t="n">
        <v>36</v>
      </c>
      <c r="H373" s="4" t="n">
        <f aca="false">E373+F373+G373</f>
        <v>1009119</v>
      </c>
      <c r="I373" s="4" t="n">
        <v>0</v>
      </c>
      <c r="J373" s="4" t="n">
        <v>2594</v>
      </c>
      <c r="K373" s="4" t="n">
        <f aca="false">H373+J373</f>
        <v>1011713</v>
      </c>
      <c r="L373" s="4" t="n">
        <f aca="false">K373/D373*100</f>
        <v>74.9145125102741</v>
      </c>
      <c r="M373" s="4" t="n">
        <v>74.4562118492999</v>
      </c>
      <c r="N373" s="4" t="n">
        <v>75.4552650085183</v>
      </c>
      <c r="O373" s="4" t="n">
        <v>40.9090909090909</v>
      </c>
    </row>
    <row r="374" customFormat="false" ht="15" hidden="false" customHeight="false" outlineLevel="0" collapsed="false">
      <c r="A374" s="1" t="str">
        <f aca="false">A373</f>
        <v>Tamil Nadu</v>
      </c>
      <c r="B374" s="4" t="n">
        <v>35</v>
      </c>
      <c r="C374" s="4" t="s">
        <v>404</v>
      </c>
      <c r="D374" s="4" t="n">
        <v>1455988</v>
      </c>
      <c r="E374" s="4" t="n">
        <v>465142</v>
      </c>
      <c r="F374" s="4" t="n">
        <v>534167</v>
      </c>
      <c r="G374" s="4" t="n">
        <v>14</v>
      </c>
      <c r="H374" s="4" t="n">
        <f aca="false">E374+F374+G374</f>
        <v>999323</v>
      </c>
      <c r="I374" s="4" t="n">
        <v>0</v>
      </c>
      <c r="J374" s="4" t="n">
        <v>1925</v>
      </c>
      <c r="K374" s="4" t="n">
        <f aca="false">H374+J374</f>
        <v>1001248</v>
      </c>
      <c r="L374" s="4" t="n">
        <f aca="false">K374/D374*100</f>
        <v>68.7675997329648</v>
      </c>
      <c r="M374" s="4" t="n">
        <v>63.6749925392953</v>
      </c>
      <c r="N374" s="4" t="n">
        <v>73.7693756697933</v>
      </c>
      <c r="O374" s="4" t="n">
        <v>17.5</v>
      </c>
    </row>
    <row r="375" customFormat="false" ht="15" hidden="false" customHeight="false" outlineLevel="0" collapsed="false">
      <c r="A375" s="1" t="str">
        <f aca="false">A374</f>
        <v>Tamil Nadu</v>
      </c>
      <c r="B375" s="4" t="n">
        <v>36</v>
      </c>
      <c r="C375" s="4" t="s">
        <v>405</v>
      </c>
      <c r="D375" s="4" t="n">
        <v>1310406</v>
      </c>
      <c r="E375" s="4" t="n">
        <v>448396</v>
      </c>
      <c r="F375" s="4" t="n">
        <v>466414</v>
      </c>
      <c r="G375" s="4" t="n">
        <v>1</v>
      </c>
      <c r="H375" s="4" t="n">
        <f aca="false">E375+F375+G375</f>
        <v>914811</v>
      </c>
      <c r="I375" s="4" t="n">
        <v>0</v>
      </c>
      <c r="J375" s="4" t="n">
        <v>2102</v>
      </c>
      <c r="K375" s="4" t="n">
        <f aca="false">H375+J375</f>
        <v>916913</v>
      </c>
      <c r="L375" s="4" t="n">
        <f aca="false">K375/D375*100</f>
        <v>69.9716729013756</v>
      </c>
      <c r="M375" s="4" t="n">
        <v>69.033810549458</v>
      </c>
      <c r="N375" s="4" t="n">
        <v>70.8220209787237</v>
      </c>
      <c r="O375" s="4" t="n">
        <v>50</v>
      </c>
    </row>
    <row r="376" customFormat="false" ht="15" hidden="false" customHeight="false" outlineLevel="0" collapsed="false">
      <c r="A376" s="1" t="str">
        <f aca="false">A375</f>
        <v>Tamil Nadu</v>
      </c>
      <c r="B376" s="4" t="n">
        <v>37</v>
      </c>
      <c r="C376" s="4" t="s">
        <v>406</v>
      </c>
      <c r="D376" s="4" t="n">
        <v>1382081</v>
      </c>
      <c r="E376" s="4" t="n">
        <v>489624</v>
      </c>
      <c r="F376" s="4" t="n">
        <v>525986</v>
      </c>
      <c r="G376" s="4" t="n">
        <v>3</v>
      </c>
      <c r="H376" s="4" t="n">
        <f aca="false">E376+F376+G376</f>
        <v>1015613</v>
      </c>
      <c r="I376" s="4" t="n">
        <v>0</v>
      </c>
      <c r="J376" s="4" t="n">
        <v>3823</v>
      </c>
      <c r="K376" s="4" t="n">
        <f aca="false">H376+J376</f>
        <v>1019436</v>
      </c>
      <c r="L376" s="4" t="n">
        <f aca="false">K376/D376*100</f>
        <v>73.7609445466655</v>
      </c>
      <c r="M376" s="4" t="n">
        <v>71.24933425301</v>
      </c>
      <c r="N376" s="4" t="n">
        <v>75.9557538737022</v>
      </c>
      <c r="O376" s="4" t="n">
        <v>7.69230769230769</v>
      </c>
    </row>
    <row r="377" customFormat="false" ht="15" hidden="false" customHeight="false" outlineLevel="0" collapsed="false">
      <c r="A377" s="1" t="str">
        <f aca="false">A376</f>
        <v>Tamil Nadu</v>
      </c>
      <c r="B377" s="4" t="n">
        <v>38</v>
      </c>
      <c r="C377" s="4" t="s">
        <v>407</v>
      </c>
      <c r="D377" s="4" t="n">
        <v>1420435</v>
      </c>
      <c r="E377" s="4" t="n">
        <v>468701</v>
      </c>
      <c r="F377" s="4" t="n">
        <v>492310</v>
      </c>
      <c r="G377" s="4" t="n">
        <v>2</v>
      </c>
      <c r="H377" s="4" t="n">
        <f aca="false">E377+F377+G377</f>
        <v>961013</v>
      </c>
      <c r="I377" s="4" t="n">
        <v>0</v>
      </c>
      <c r="J377" s="4" t="n">
        <v>1634</v>
      </c>
      <c r="K377" s="4" t="n">
        <f aca="false">H377+J377</f>
        <v>962647</v>
      </c>
      <c r="L377" s="4" t="n">
        <f aca="false">K377/D377*100</f>
        <v>67.7712813328311</v>
      </c>
      <c r="M377" s="4" t="n">
        <v>66.4792995505175</v>
      </c>
      <c r="N377" s="4" t="n">
        <v>68.8996434029547</v>
      </c>
      <c r="O377" s="4" t="n">
        <v>10</v>
      </c>
    </row>
    <row r="378" customFormat="false" ht="15" hidden="false" customHeight="false" outlineLevel="0" collapsed="false">
      <c r="A378" s="1" t="str">
        <f aca="false">A377</f>
        <v>Tamil Nadu</v>
      </c>
      <c r="B378" s="4" t="n">
        <v>39</v>
      </c>
      <c r="C378" s="4" t="s">
        <v>408</v>
      </c>
      <c r="D378" s="4" t="n">
        <v>1467768</v>
      </c>
      <c r="E378" s="4" t="n">
        <v>488828</v>
      </c>
      <c r="F378" s="4" t="n">
        <v>501284</v>
      </c>
      <c r="G378" s="4" t="n">
        <v>2</v>
      </c>
      <c r="H378" s="4" t="n">
        <f aca="false">E378+F378+G378</f>
        <v>990114</v>
      </c>
      <c r="I378" s="4" t="n">
        <v>0</v>
      </c>
      <c r="J378" s="4" t="n">
        <v>1048</v>
      </c>
      <c r="K378" s="4" t="n">
        <f aca="false">H378+J378</f>
        <v>991162</v>
      </c>
      <c r="L378" s="4" t="n">
        <f aca="false">K378/D378*100</f>
        <v>67.5285194935439</v>
      </c>
      <c r="M378" s="4" t="n">
        <v>66.1178800207756</v>
      </c>
      <c r="N378" s="4" t="n">
        <v>69.3296673508113</v>
      </c>
      <c r="O378" s="4" t="n">
        <v>2.85714285714286</v>
      </c>
    </row>
    <row r="379" customFormat="false" ht="15" hidden="false" customHeight="false" outlineLevel="0" collapsed="false">
      <c r="A379" s="4" t="s">
        <v>409</v>
      </c>
      <c r="B379" s="4" t="n">
        <v>1</v>
      </c>
      <c r="C379" s="4" t="s">
        <v>410</v>
      </c>
      <c r="D379" s="4" t="n">
        <v>1248546</v>
      </c>
      <c r="E379" s="4" t="n">
        <v>543278</v>
      </c>
      <c r="F379" s="4" t="n">
        <v>523020</v>
      </c>
      <c r="G379" s="4" t="n">
        <v>0</v>
      </c>
      <c r="H379" s="4" t="n">
        <f aca="false">E379+F379+G379</f>
        <v>1066298</v>
      </c>
      <c r="I379" s="4" t="n">
        <v>0</v>
      </c>
      <c r="J379" s="4" t="n">
        <v>9634</v>
      </c>
      <c r="K379" s="4" t="n">
        <f aca="false">H379+J379</f>
        <v>1075932</v>
      </c>
      <c r="L379" s="4" t="n">
        <f aca="false">K379/D379*100</f>
        <v>86.174798525645</v>
      </c>
      <c r="M379" s="4" t="n">
        <v>85.5957598999215</v>
      </c>
      <c r="N379" s="4" t="n">
        <v>85.4479391986825</v>
      </c>
      <c r="O379" s="4" t="n">
        <v>0</v>
      </c>
    </row>
    <row r="380" customFormat="false" ht="15" hidden="false" customHeight="false" outlineLevel="0" collapsed="false">
      <c r="A380" s="1" t="str">
        <f aca="false">A379</f>
        <v>Tripura</v>
      </c>
      <c r="B380" s="4" t="n">
        <v>2</v>
      </c>
      <c r="C380" s="4" t="s">
        <v>411</v>
      </c>
      <c r="D380" s="4" t="n">
        <v>1140276</v>
      </c>
      <c r="E380" s="4" t="n">
        <v>486129</v>
      </c>
      <c r="F380" s="4" t="n">
        <v>459313</v>
      </c>
      <c r="G380" s="4" t="n">
        <v>0</v>
      </c>
      <c r="H380" s="4" t="n">
        <f aca="false">E380+F380+G380</f>
        <v>945442</v>
      </c>
      <c r="I380" s="4" t="n">
        <v>0</v>
      </c>
      <c r="J380" s="4" t="n">
        <v>7333</v>
      </c>
      <c r="K380" s="4" t="n">
        <f aca="false">H380+J380</f>
        <v>952775</v>
      </c>
      <c r="L380" s="4" t="n">
        <f aca="false">K380/D380*100</f>
        <v>83.5565249115127</v>
      </c>
      <c r="M380" s="4" t="n">
        <v>83.7435852381666</v>
      </c>
      <c r="N380" s="4" t="n">
        <v>82.2746422865004</v>
      </c>
      <c r="O380" s="4" t="n">
        <v>0</v>
      </c>
    </row>
    <row r="381" customFormat="false" ht="15" hidden="false" customHeight="false" outlineLevel="0" collapsed="false">
      <c r="A381" s="4" t="s">
        <v>412</v>
      </c>
      <c r="B381" s="4" t="n">
        <v>1</v>
      </c>
      <c r="C381" s="4" t="s">
        <v>413</v>
      </c>
      <c r="D381" s="4" t="n">
        <v>1608833</v>
      </c>
      <c r="E381" s="4" t="n">
        <v>652595</v>
      </c>
      <c r="F381" s="4" t="n">
        <v>540479</v>
      </c>
      <c r="G381" s="4" t="n">
        <v>12</v>
      </c>
      <c r="H381" s="4" t="n">
        <f aca="false">E381+F381+G381</f>
        <v>1193086</v>
      </c>
      <c r="I381" s="4" t="n">
        <v>0</v>
      </c>
      <c r="J381" s="4" t="n">
        <v>1563</v>
      </c>
      <c r="K381" s="4" t="n">
        <f aca="false">H381+J381</f>
        <v>1194649</v>
      </c>
      <c r="L381" s="4" t="n">
        <f aca="false">K381/D381*100</f>
        <v>74.2556250400135</v>
      </c>
      <c r="M381" s="4" t="n">
        <v>74.8176835231305</v>
      </c>
      <c r="N381" s="4" t="n">
        <v>73.5326569789352</v>
      </c>
      <c r="O381" s="4" t="n">
        <v>19.047619047619</v>
      </c>
    </row>
    <row r="382" customFormat="false" ht="15" hidden="false" customHeight="false" outlineLevel="0" collapsed="false">
      <c r="A382" s="1" t="str">
        <f aca="false">A381</f>
        <v>Uttar Pradesh</v>
      </c>
      <c r="B382" s="4" t="n">
        <v>2</v>
      </c>
      <c r="C382" s="4" t="s">
        <v>414</v>
      </c>
      <c r="D382" s="4" t="n">
        <v>1531767</v>
      </c>
      <c r="E382" s="4" t="n">
        <v>617921</v>
      </c>
      <c r="F382" s="4" t="n">
        <v>500278</v>
      </c>
      <c r="G382" s="4" t="n">
        <v>0</v>
      </c>
      <c r="H382" s="4" t="n">
        <f aca="false">E382+F382+G382</f>
        <v>1118199</v>
      </c>
      <c r="I382" s="4" t="n">
        <v>0</v>
      </c>
      <c r="J382" s="4" t="n">
        <v>1548</v>
      </c>
      <c r="K382" s="4" t="n">
        <f aca="false">H382+J382</f>
        <v>1119747</v>
      </c>
      <c r="L382" s="4" t="n">
        <f aca="false">K382/D382*100</f>
        <v>73.1016531887683</v>
      </c>
      <c r="M382" s="4" t="n">
        <v>73.644610980409</v>
      </c>
      <c r="N382" s="4" t="n">
        <v>72.4625757718408</v>
      </c>
      <c r="O382" s="4" t="n">
        <v>0</v>
      </c>
    </row>
    <row r="383" customFormat="false" ht="15" hidden="false" customHeight="false" outlineLevel="0" collapsed="false">
      <c r="A383" s="1" t="str">
        <f aca="false">A382</f>
        <v>Uttar Pradesh</v>
      </c>
      <c r="B383" s="4" t="n">
        <v>3</v>
      </c>
      <c r="C383" s="4" t="s">
        <v>415</v>
      </c>
      <c r="D383" s="4" t="n">
        <v>1588475</v>
      </c>
      <c r="E383" s="4" t="n">
        <v>618042</v>
      </c>
      <c r="F383" s="4" t="n">
        <v>484660</v>
      </c>
      <c r="G383" s="4" t="n">
        <v>11</v>
      </c>
      <c r="H383" s="4" t="n">
        <f aca="false">E383+F383+G383</f>
        <v>1102713</v>
      </c>
      <c r="I383" s="4" t="n">
        <v>0</v>
      </c>
      <c r="J383" s="4" t="n">
        <v>5052</v>
      </c>
      <c r="K383" s="4" t="n">
        <f aca="false">H383+J383</f>
        <v>1107765</v>
      </c>
      <c r="L383" s="4" t="n">
        <f aca="false">K383/D383*100</f>
        <v>69.7376414485592</v>
      </c>
      <c r="M383" s="4" t="n">
        <v>70.8080853213816</v>
      </c>
      <c r="N383" s="4" t="n">
        <v>68.0476695926631</v>
      </c>
      <c r="O383" s="4" t="n">
        <v>14.4736842105263</v>
      </c>
    </row>
    <row r="384" customFormat="false" ht="15" hidden="false" customHeight="false" outlineLevel="0" collapsed="false">
      <c r="A384" s="1" t="str">
        <f aca="false">A383</f>
        <v>Uttar Pradesh</v>
      </c>
      <c r="B384" s="4" t="n">
        <v>4</v>
      </c>
      <c r="C384" s="4" t="s">
        <v>416</v>
      </c>
      <c r="D384" s="4" t="n">
        <v>1562081</v>
      </c>
      <c r="E384" s="4" t="n">
        <v>575976</v>
      </c>
      <c r="F384" s="4" t="n">
        <v>482184</v>
      </c>
      <c r="G384" s="4" t="n">
        <v>10</v>
      </c>
      <c r="H384" s="4" t="n">
        <f aca="false">E384+F384+G384</f>
        <v>1058170</v>
      </c>
      <c r="I384" s="4" t="n">
        <v>0</v>
      </c>
      <c r="J384" s="4" t="n">
        <v>2240</v>
      </c>
      <c r="K384" s="4" t="n">
        <f aca="false">H384+J384</f>
        <v>1060410</v>
      </c>
      <c r="L384" s="4" t="n">
        <f aca="false">K384/D384*100</f>
        <v>67.8844438924742</v>
      </c>
      <c r="M384" s="4" t="n">
        <v>68.0051005950694</v>
      </c>
      <c r="N384" s="4" t="n">
        <v>67.6257822383166</v>
      </c>
      <c r="O384" s="4" t="n">
        <v>13.1578947368421</v>
      </c>
    </row>
    <row r="385" customFormat="false" ht="15" hidden="false" customHeight="false" outlineLevel="0" collapsed="false">
      <c r="A385" s="1" t="str">
        <f aca="false">A384</f>
        <v>Uttar Pradesh</v>
      </c>
      <c r="B385" s="4" t="n">
        <v>5</v>
      </c>
      <c r="C385" s="4" t="s">
        <v>417</v>
      </c>
      <c r="D385" s="4" t="n">
        <v>1493419</v>
      </c>
      <c r="E385" s="4" t="n">
        <v>484049</v>
      </c>
      <c r="F385" s="4" t="n">
        <v>458292</v>
      </c>
      <c r="G385" s="4" t="n">
        <v>8</v>
      </c>
      <c r="H385" s="4" t="n">
        <f aca="false">E385+F385+G385</f>
        <v>942349</v>
      </c>
      <c r="I385" s="4" t="n">
        <v>0</v>
      </c>
      <c r="J385" s="4" t="n">
        <v>276</v>
      </c>
      <c r="K385" s="4" t="n">
        <f aca="false">H385+J385</f>
        <v>942625</v>
      </c>
      <c r="L385" s="4" t="n">
        <f aca="false">K385/D385*100</f>
        <v>63.1185889559461</v>
      </c>
      <c r="M385" s="4" t="n">
        <v>60.8826844030328</v>
      </c>
      <c r="N385" s="4" t="n">
        <v>65.698541217487</v>
      </c>
      <c r="O385" s="4" t="n">
        <v>8.69565217391304</v>
      </c>
    </row>
    <row r="386" customFormat="false" ht="15" hidden="false" customHeight="false" outlineLevel="0" collapsed="false">
      <c r="A386" s="1" t="str">
        <f aca="false">A385</f>
        <v>Uttar Pradesh</v>
      </c>
      <c r="B386" s="4" t="n">
        <v>6</v>
      </c>
      <c r="C386" s="4" t="s">
        <v>418</v>
      </c>
      <c r="D386" s="4" t="n">
        <v>1771985</v>
      </c>
      <c r="E386" s="4" t="n">
        <v>626722</v>
      </c>
      <c r="F386" s="4" t="n">
        <v>499370</v>
      </c>
      <c r="G386" s="4" t="n">
        <v>0</v>
      </c>
      <c r="H386" s="4" t="n">
        <f aca="false">E386+F386+G386</f>
        <v>1126092</v>
      </c>
      <c r="I386" s="4" t="n">
        <v>0</v>
      </c>
      <c r="J386" s="4" t="n">
        <v>1984</v>
      </c>
      <c r="K386" s="4" t="n">
        <f aca="false">H386+J386</f>
        <v>1128076</v>
      </c>
      <c r="L386" s="4" t="n">
        <f aca="false">K386/D386*100</f>
        <v>63.6617127120151</v>
      </c>
      <c r="M386" s="4" t="n">
        <v>65.1798649439901</v>
      </c>
      <c r="N386" s="4" t="n">
        <v>61.6599043312697</v>
      </c>
      <c r="O386" s="4" t="n">
        <v>0</v>
      </c>
    </row>
    <row r="387" customFormat="false" ht="15" hidden="false" customHeight="false" outlineLevel="0" collapsed="false">
      <c r="A387" s="1" t="str">
        <f aca="false">A386</f>
        <v>Uttar Pradesh</v>
      </c>
      <c r="B387" s="4" t="n">
        <v>7</v>
      </c>
      <c r="C387" s="4" t="s">
        <v>419</v>
      </c>
      <c r="D387" s="4" t="n">
        <v>1616972</v>
      </c>
      <c r="E387" s="4" t="n">
        <v>528149</v>
      </c>
      <c r="F387" s="4" t="n">
        <v>430146</v>
      </c>
      <c r="G387" s="4" t="n">
        <v>8</v>
      </c>
      <c r="H387" s="4" t="n">
        <f aca="false">E387+F387+G387</f>
        <v>958303</v>
      </c>
      <c r="I387" s="4" t="n">
        <v>0</v>
      </c>
      <c r="J387" s="4" t="n">
        <v>33</v>
      </c>
      <c r="K387" s="4" t="n">
        <f aca="false">H387+J387</f>
        <v>958336</v>
      </c>
      <c r="L387" s="4" t="n">
        <f aca="false">K387/D387*100</f>
        <v>59.2673218831248</v>
      </c>
      <c r="M387" s="4" t="n">
        <v>60.6078584379518</v>
      </c>
      <c r="N387" s="4" t="n">
        <v>57.7977657324522</v>
      </c>
      <c r="O387" s="4" t="n">
        <v>2.20385674931129</v>
      </c>
    </row>
    <row r="388" customFormat="false" ht="15" hidden="false" customHeight="false" outlineLevel="0" collapsed="false">
      <c r="A388" s="1" t="str">
        <f aca="false">A387</f>
        <v>Uttar Pradesh</v>
      </c>
      <c r="B388" s="4" t="n">
        <v>8</v>
      </c>
      <c r="C388" s="4" t="s">
        <v>420</v>
      </c>
      <c r="D388" s="4" t="n">
        <v>1693229</v>
      </c>
      <c r="E388" s="4" t="n">
        <v>599491</v>
      </c>
      <c r="F388" s="4" t="n">
        <v>456319</v>
      </c>
      <c r="G388" s="4" t="n">
        <v>7</v>
      </c>
      <c r="H388" s="4" t="n">
        <f aca="false">E388+F388+G388</f>
        <v>1055817</v>
      </c>
      <c r="I388" s="4" t="n">
        <v>0</v>
      </c>
      <c r="J388" s="4" t="n">
        <v>1287</v>
      </c>
      <c r="K388" s="4" t="n">
        <f aca="false">H388+J388</f>
        <v>1057104</v>
      </c>
      <c r="L388" s="4" t="n">
        <f aca="false">K388/D388*100</f>
        <v>62.4312482245461</v>
      </c>
      <c r="M388" s="4" t="n">
        <v>64.3645741513573</v>
      </c>
      <c r="N388" s="4" t="n">
        <v>59.9314947051554</v>
      </c>
      <c r="O388" s="4" t="n">
        <v>6.36363636363636</v>
      </c>
    </row>
    <row r="389" customFormat="false" ht="15" hidden="false" customHeight="false" outlineLevel="0" collapsed="false">
      <c r="A389" s="1" t="str">
        <f aca="false">A388</f>
        <v>Uttar Pradesh</v>
      </c>
      <c r="B389" s="4" t="n">
        <v>9</v>
      </c>
      <c r="C389" s="4" t="s">
        <v>421</v>
      </c>
      <c r="D389" s="4" t="n">
        <v>1544245</v>
      </c>
      <c r="E389" s="4" t="n">
        <v>589753</v>
      </c>
      <c r="F389" s="4" t="n">
        <v>505978</v>
      </c>
      <c r="G389" s="4" t="n">
        <v>0</v>
      </c>
      <c r="H389" s="4" t="n">
        <f aca="false">E389+F389+G389</f>
        <v>1095731</v>
      </c>
      <c r="I389" s="4" t="n">
        <v>0</v>
      </c>
      <c r="J389" s="4" t="n">
        <v>164</v>
      </c>
      <c r="K389" s="4" t="n">
        <f aca="false">H389+J389</f>
        <v>1095895</v>
      </c>
      <c r="L389" s="4" t="n">
        <f aca="false">K389/D389*100</f>
        <v>70.9663945811707</v>
      </c>
      <c r="M389" s="4" t="n">
        <v>71.2115010064347</v>
      </c>
      <c r="N389" s="4" t="n">
        <v>70.8434375962589</v>
      </c>
      <c r="O389" s="4" t="n">
        <v>0</v>
      </c>
    </row>
    <row r="390" customFormat="false" ht="15" hidden="false" customHeight="false" outlineLevel="0" collapsed="false">
      <c r="A390" s="1" t="str">
        <f aca="false">A389</f>
        <v>Uttar Pradesh</v>
      </c>
      <c r="B390" s="4" t="n">
        <v>10</v>
      </c>
      <c r="C390" s="4" t="s">
        <v>422</v>
      </c>
      <c r="D390" s="4" t="n">
        <v>1764387</v>
      </c>
      <c r="E390" s="4" t="n">
        <v>631761</v>
      </c>
      <c r="F390" s="4" t="n">
        <v>479781</v>
      </c>
      <c r="G390" s="4" t="n">
        <v>0</v>
      </c>
      <c r="H390" s="4" t="n">
        <f aca="false">E390+F390+G390</f>
        <v>1111542</v>
      </c>
      <c r="I390" s="4" t="n">
        <v>0</v>
      </c>
      <c r="J390" s="4" t="n">
        <v>2129</v>
      </c>
      <c r="K390" s="4" t="n">
        <f aca="false">H390+J390</f>
        <v>1113671</v>
      </c>
      <c r="L390" s="4" t="n">
        <f aca="false">K390/D390*100</f>
        <v>63.1194290141562</v>
      </c>
      <c r="M390" s="4" t="n">
        <v>65.1244274974409</v>
      </c>
      <c r="N390" s="4" t="n">
        <v>60.6227279791666</v>
      </c>
      <c r="O390" s="4" t="n">
        <v>0</v>
      </c>
    </row>
    <row r="391" customFormat="false" ht="15" hidden="false" customHeight="false" outlineLevel="0" collapsed="false">
      <c r="A391" s="1" t="str">
        <f aca="false">A390</f>
        <v>Uttar Pradesh</v>
      </c>
      <c r="B391" s="4" t="n">
        <v>11</v>
      </c>
      <c r="C391" s="4" t="s">
        <v>423</v>
      </c>
      <c r="D391" s="4" t="n">
        <v>1505175</v>
      </c>
      <c r="E391" s="4" t="n">
        <v>582431</v>
      </c>
      <c r="F391" s="4" t="n">
        <v>421180</v>
      </c>
      <c r="G391" s="4" t="n">
        <v>0</v>
      </c>
      <c r="H391" s="4" t="n">
        <f aca="false">E391+F391+G391</f>
        <v>1003611</v>
      </c>
      <c r="I391" s="4" t="n">
        <v>0</v>
      </c>
      <c r="J391" s="4" t="n">
        <v>1155</v>
      </c>
      <c r="K391" s="4" t="n">
        <f aca="false">H391+J391</f>
        <v>1004766</v>
      </c>
      <c r="L391" s="4" t="n">
        <f aca="false">K391/D391*100</f>
        <v>66.7540983606557</v>
      </c>
      <c r="M391" s="4" t="n">
        <v>68.8462484101429</v>
      </c>
      <c r="N391" s="4" t="n">
        <v>64.5654806616283</v>
      </c>
      <c r="O391" s="4" t="n">
        <v>0</v>
      </c>
    </row>
    <row r="392" customFormat="false" ht="15" hidden="false" customHeight="false" outlineLevel="0" collapsed="false">
      <c r="A392" s="1" t="str">
        <f aca="false">A391</f>
        <v>Uttar Pradesh</v>
      </c>
      <c r="B392" s="4" t="n">
        <v>12</v>
      </c>
      <c r="C392" s="4" t="s">
        <v>424</v>
      </c>
      <c r="D392" s="4" t="n">
        <v>2357553</v>
      </c>
      <c r="E392" s="4" t="n">
        <v>781962</v>
      </c>
      <c r="F392" s="4" t="n">
        <v>559856</v>
      </c>
      <c r="G392" s="4" t="n">
        <v>0</v>
      </c>
      <c r="H392" s="4" t="n">
        <f aca="false">E392+F392+G392</f>
        <v>1341818</v>
      </c>
      <c r="I392" s="4" t="n">
        <v>0</v>
      </c>
      <c r="J392" s="4" t="n">
        <v>653</v>
      </c>
      <c r="K392" s="4" t="n">
        <f aca="false">H392+J392</f>
        <v>1342471</v>
      </c>
      <c r="L392" s="4" t="n">
        <f aca="false">K392/D392*100</f>
        <v>56.9434069986974</v>
      </c>
      <c r="M392" s="4" t="n">
        <v>58.7169644707557</v>
      </c>
      <c r="N392" s="4" t="n">
        <v>54.6839577535913</v>
      </c>
      <c r="O392" s="4" t="n">
        <v>0</v>
      </c>
    </row>
    <row r="393" customFormat="false" ht="15" hidden="false" customHeight="false" outlineLevel="0" collapsed="false">
      <c r="A393" s="1" t="str">
        <f aca="false">A392</f>
        <v>Uttar Pradesh</v>
      </c>
      <c r="B393" s="4" t="n">
        <v>13</v>
      </c>
      <c r="C393" s="4" t="s">
        <v>425</v>
      </c>
      <c r="D393" s="4" t="n">
        <v>1986109</v>
      </c>
      <c r="E393" s="4" t="n">
        <v>707052</v>
      </c>
      <c r="F393" s="4" t="n">
        <v>491342</v>
      </c>
      <c r="G393" s="4" t="n">
        <v>0</v>
      </c>
      <c r="H393" s="4" t="n">
        <f aca="false">E393+F393+G393</f>
        <v>1198394</v>
      </c>
      <c r="I393" s="4" t="n">
        <v>0</v>
      </c>
      <c r="J393" s="4" t="n">
        <v>971</v>
      </c>
      <c r="K393" s="4" t="n">
        <f aca="false">H393+J393</f>
        <v>1199365</v>
      </c>
      <c r="L393" s="4" t="n">
        <f aca="false">K393/D393*100</f>
        <v>60.3876725799037</v>
      </c>
      <c r="M393" s="4" t="n">
        <v>64.0541965549168</v>
      </c>
      <c r="N393" s="4" t="n">
        <v>55.8776233399066</v>
      </c>
      <c r="O393" s="4" t="n">
        <v>0</v>
      </c>
    </row>
    <row r="394" customFormat="false" ht="15" hidden="false" customHeight="false" outlineLevel="0" collapsed="false">
      <c r="A394" s="1" t="str">
        <f aca="false">A393</f>
        <v>Uttar Pradesh</v>
      </c>
      <c r="B394" s="4" t="n">
        <v>14</v>
      </c>
      <c r="C394" s="4" t="s">
        <v>426</v>
      </c>
      <c r="D394" s="4" t="n">
        <v>1736436</v>
      </c>
      <c r="E394" s="4" t="n">
        <v>549613</v>
      </c>
      <c r="F394" s="4" t="n">
        <v>459467</v>
      </c>
      <c r="G394" s="4" t="n">
        <v>15</v>
      </c>
      <c r="H394" s="4" t="n">
        <f aca="false">E394+F394+G394</f>
        <v>1009095</v>
      </c>
      <c r="I394" s="4" t="n">
        <v>0</v>
      </c>
      <c r="J394" s="4" t="n">
        <v>1103</v>
      </c>
      <c r="K394" s="4" t="n">
        <f aca="false">H394+J394</f>
        <v>1010198</v>
      </c>
      <c r="L394" s="4" t="n">
        <f aca="false">K394/D394*100</f>
        <v>58.1765178791502</v>
      </c>
      <c r="M394" s="4" t="n">
        <v>59.2543997723029</v>
      </c>
      <c r="N394" s="4" t="n">
        <v>57.1546745183798</v>
      </c>
      <c r="O394" s="4" t="n">
        <v>13.6363636363636</v>
      </c>
    </row>
    <row r="395" customFormat="false" ht="15" hidden="false" customHeight="false" outlineLevel="0" collapsed="false">
      <c r="A395" s="1" t="str">
        <f aca="false">A394</f>
        <v>Uttar Pradesh</v>
      </c>
      <c r="B395" s="4" t="n">
        <v>15</v>
      </c>
      <c r="C395" s="4" t="s">
        <v>427</v>
      </c>
      <c r="D395" s="4" t="n">
        <v>1793126</v>
      </c>
      <c r="E395" s="4" t="n">
        <v>596880</v>
      </c>
      <c r="F395" s="4" t="n">
        <v>467715</v>
      </c>
      <c r="G395" s="4" t="n">
        <v>2</v>
      </c>
      <c r="H395" s="4" t="n">
        <f aca="false">E395+F395+G395</f>
        <v>1064597</v>
      </c>
      <c r="I395" s="4" t="n">
        <v>0</v>
      </c>
      <c r="J395" s="4" t="n">
        <v>100</v>
      </c>
      <c r="K395" s="4" t="n">
        <f aca="false">H395+J395</f>
        <v>1064697</v>
      </c>
      <c r="L395" s="4" t="n">
        <f aca="false">K395/D395*100</f>
        <v>59.376585917554</v>
      </c>
      <c r="M395" s="4" t="n">
        <v>61.9327526186635</v>
      </c>
      <c r="N395" s="4" t="n">
        <v>56.6276569469264</v>
      </c>
      <c r="O395" s="4" t="n">
        <v>1.65289256198347</v>
      </c>
    </row>
    <row r="396" customFormat="false" ht="15" hidden="false" customHeight="false" outlineLevel="0" collapsed="false">
      <c r="A396" s="1" t="str">
        <f aca="false">A395</f>
        <v>Uttar Pradesh</v>
      </c>
      <c r="B396" s="4" t="n">
        <v>16</v>
      </c>
      <c r="C396" s="4" t="s">
        <v>428</v>
      </c>
      <c r="D396" s="4" t="n">
        <v>1758927</v>
      </c>
      <c r="E396" s="4" t="n">
        <v>596865</v>
      </c>
      <c r="F396" s="4" t="n">
        <v>452373</v>
      </c>
      <c r="G396" s="4" t="n">
        <v>2</v>
      </c>
      <c r="H396" s="4" t="n">
        <f aca="false">E396+F396+G396</f>
        <v>1049240</v>
      </c>
      <c r="I396" s="4" t="n">
        <v>0</v>
      </c>
      <c r="J396" s="4" t="n">
        <v>49</v>
      </c>
      <c r="K396" s="4" t="n">
        <f aca="false">H396+J396</f>
        <v>1049289</v>
      </c>
      <c r="L396" s="4" t="n">
        <f aca="false">K396/D396*100</f>
        <v>59.6550624329492</v>
      </c>
      <c r="M396" s="4" t="n">
        <v>61.7034627917363</v>
      </c>
      <c r="N396" s="4" t="n">
        <v>57.4100724902534</v>
      </c>
      <c r="O396" s="4" t="n">
        <v>2.12765957446809</v>
      </c>
    </row>
    <row r="397" customFormat="false" ht="15" hidden="false" customHeight="false" outlineLevel="0" collapsed="false">
      <c r="A397" s="1" t="str">
        <f aca="false">A396</f>
        <v>Uttar Pradesh</v>
      </c>
      <c r="B397" s="4" t="n">
        <v>17</v>
      </c>
      <c r="C397" s="4" t="s">
        <v>429</v>
      </c>
      <c r="D397" s="4" t="n">
        <v>1682260</v>
      </c>
      <c r="E397" s="4" t="n">
        <v>619776</v>
      </c>
      <c r="F397" s="4" t="n">
        <v>457879</v>
      </c>
      <c r="G397" s="4" t="n">
        <v>1</v>
      </c>
      <c r="H397" s="4" t="n">
        <f aca="false">E397+F397+G397</f>
        <v>1077656</v>
      </c>
      <c r="I397" s="4" t="n">
        <v>0</v>
      </c>
      <c r="J397" s="4" t="n">
        <v>675</v>
      </c>
      <c r="K397" s="4" t="n">
        <f aca="false">H397+J397</f>
        <v>1078331</v>
      </c>
      <c r="L397" s="4" t="n">
        <f aca="false">K397/D397*100</f>
        <v>64.1001390985936</v>
      </c>
      <c r="M397" s="4" t="n">
        <v>66.8567378732521</v>
      </c>
      <c r="N397" s="4" t="n">
        <v>61.1754127425451</v>
      </c>
      <c r="O397" s="4" t="n">
        <v>0.574712643678161</v>
      </c>
    </row>
    <row r="398" customFormat="false" ht="15" hidden="false" customHeight="false" outlineLevel="0" collapsed="false">
      <c r="A398" s="1" t="str">
        <f aca="false">A397</f>
        <v>Uttar Pradesh</v>
      </c>
      <c r="B398" s="4" t="n">
        <v>18</v>
      </c>
      <c r="C398" s="4" t="s">
        <v>430</v>
      </c>
      <c r="D398" s="4" t="n">
        <v>1814739</v>
      </c>
      <c r="E398" s="4" t="n">
        <v>621497</v>
      </c>
      <c r="F398" s="4" t="n">
        <v>448004</v>
      </c>
      <c r="G398" s="4" t="n">
        <v>2</v>
      </c>
      <c r="H398" s="4" t="n">
        <f aca="false">E398+F398+G398</f>
        <v>1069503</v>
      </c>
      <c r="I398" s="4" t="n">
        <v>0</v>
      </c>
      <c r="J398" s="4" t="n">
        <v>902</v>
      </c>
      <c r="K398" s="4" t="n">
        <f aca="false">H398+J398</f>
        <v>1070405</v>
      </c>
      <c r="L398" s="4" t="n">
        <f aca="false">K398/D398*100</f>
        <v>58.9839640851935</v>
      </c>
      <c r="M398" s="4" t="n">
        <v>61.97740282016</v>
      </c>
      <c r="N398" s="4" t="n">
        <v>55.2661510183438</v>
      </c>
      <c r="O398" s="4" t="n">
        <v>3.03030303030303</v>
      </c>
    </row>
    <row r="399" customFormat="false" ht="15" hidden="false" customHeight="false" outlineLevel="0" collapsed="false">
      <c r="A399" s="1" t="str">
        <f aca="false">A398</f>
        <v>Uttar Pradesh</v>
      </c>
      <c r="B399" s="4" t="n">
        <v>19</v>
      </c>
      <c r="C399" s="4" t="s">
        <v>431</v>
      </c>
      <c r="D399" s="4" t="n">
        <v>1580582</v>
      </c>
      <c r="E399" s="4" t="n">
        <v>565514</v>
      </c>
      <c r="F399" s="4" t="n">
        <v>401637</v>
      </c>
      <c r="G399" s="4" t="n">
        <v>1</v>
      </c>
      <c r="H399" s="4" t="n">
        <f aca="false">E399+F399+G399</f>
        <v>967152</v>
      </c>
      <c r="I399" s="4" t="n">
        <v>0</v>
      </c>
      <c r="J399" s="4" t="n">
        <v>1081</v>
      </c>
      <c r="K399" s="4" t="n">
        <f aca="false">H399+J399</f>
        <v>968233</v>
      </c>
      <c r="L399" s="4" t="n">
        <f aca="false">K399/D399*100</f>
        <v>61.2580049627289</v>
      </c>
      <c r="M399" s="4" t="n">
        <v>64.5906788420794</v>
      </c>
      <c r="N399" s="4" t="n">
        <v>57.171550094518</v>
      </c>
      <c r="O399" s="4" t="n">
        <v>2.27272727272727</v>
      </c>
    </row>
    <row r="400" customFormat="false" ht="15" hidden="false" customHeight="false" outlineLevel="0" collapsed="false">
      <c r="A400" s="1" t="str">
        <f aca="false">A399</f>
        <v>Uttar Pradesh</v>
      </c>
      <c r="B400" s="4" t="n">
        <v>20</v>
      </c>
      <c r="C400" s="4" t="s">
        <v>432</v>
      </c>
      <c r="D400" s="4" t="n">
        <v>1636738</v>
      </c>
      <c r="E400" s="4" t="n">
        <v>643026</v>
      </c>
      <c r="F400" s="4" t="n">
        <v>461542</v>
      </c>
      <c r="G400" s="4" t="n">
        <v>0</v>
      </c>
      <c r="H400" s="4" t="n">
        <f aca="false">E400+F400+G400</f>
        <v>1104568</v>
      </c>
      <c r="I400" s="4" t="n">
        <v>0</v>
      </c>
      <c r="J400" s="4" t="n">
        <v>79</v>
      </c>
      <c r="K400" s="4" t="n">
        <f aca="false">H400+J400</f>
        <v>1104647</v>
      </c>
      <c r="L400" s="4" t="n">
        <f aca="false">K400/D400*100</f>
        <v>67.4907651682798</v>
      </c>
      <c r="M400" s="4" t="n">
        <v>71.3957697218675</v>
      </c>
      <c r="N400" s="4" t="n">
        <v>62.9509654558176</v>
      </c>
      <c r="O400" s="4" t="n">
        <v>0</v>
      </c>
    </row>
    <row r="401" customFormat="false" ht="15" hidden="false" customHeight="false" outlineLevel="0" collapsed="false">
      <c r="A401" s="1" t="str">
        <f aca="false">A400</f>
        <v>Uttar Pradesh</v>
      </c>
      <c r="B401" s="4" t="n">
        <v>21</v>
      </c>
      <c r="C401" s="4" t="s">
        <v>433</v>
      </c>
      <c r="D401" s="4" t="n">
        <v>1653058</v>
      </c>
      <c r="E401" s="4" t="n">
        <v>579581</v>
      </c>
      <c r="F401" s="4" t="n">
        <v>418952</v>
      </c>
      <c r="G401" s="4" t="n">
        <v>5</v>
      </c>
      <c r="H401" s="4" t="n">
        <f aca="false">E401+F401+G401</f>
        <v>998538</v>
      </c>
      <c r="I401" s="4" t="n">
        <v>0</v>
      </c>
      <c r="J401" s="4" t="n">
        <v>889</v>
      </c>
      <c r="K401" s="4" t="n">
        <f aca="false">H401+J401</f>
        <v>999427</v>
      </c>
      <c r="L401" s="4" t="n">
        <f aca="false">K401/D401*100</f>
        <v>60.4592821304516</v>
      </c>
      <c r="M401" s="4" t="n">
        <v>64.619533890132</v>
      </c>
      <c r="N401" s="4" t="n">
        <v>55.8428436994324</v>
      </c>
      <c r="O401" s="4" t="n">
        <v>17.2413793103448</v>
      </c>
    </row>
    <row r="402" customFormat="false" ht="15" hidden="false" customHeight="false" outlineLevel="0" collapsed="false">
      <c r="A402" s="1" t="str">
        <f aca="false">A401</f>
        <v>Uttar Pradesh</v>
      </c>
      <c r="B402" s="4" t="n">
        <v>22</v>
      </c>
      <c r="C402" s="4" t="s">
        <v>434</v>
      </c>
      <c r="D402" s="4" t="n">
        <v>1577457</v>
      </c>
      <c r="E402" s="4" t="n">
        <v>520186</v>
      </c>
      <c r="F402" s="4" t="n">
        <v>405831</v>
      </c>
      <c r="G402" s="4" t="n">
        <v>0</v>
      </c>
      <c r="H402" s="4" t="n">
        <f aca="false">E402+F402+G402</f>
        <v>926017</v>
      </c>
      <c r="I402" s="4" t="n">
        <v>0</v>
      </c>
      <c r="J402" s="4" t="n">
        <v>266</v>
      </c>
      <c r="K402" s="4" t="n">
        <f aca="false">H402+J402</f>
        <v>926283</v>
      </c>
      <c r="L402" s="4" t="n">
        <f aca="false">K402/D402*100</f>
        <v>58.7200158229353</v>
      </c>
      <c r="M402" s="4" t="n">
        <v>60.8275197560285</v>
      </c>
      <c r="N402" s="4" t="n">
        <v>56.4048217018278</v>
      </c>
      <c r="O402" s="4" t="n">
        <v>0</v>
      </c>
    </row>
    <row r="403" customFormat="false" ht="15" hidden="false" customHeight="false" outlineLevel="0" collapsed="false">
      <c r="A403" s="1" t="str">
        <f aca="false">A402</f>
        <v>Uttar Pradesh</v>
      </c>
      <c r="B403" s="4" t="n">
        <v>23</v>
      </c>
      <c r="C403" s="4" t="s">
        <v>435</v>
      </c>
      <c r="D403" s="4" t="n">
        <v>1769145</v>
      </c>
      <c r="E403" s="4" t="n">
        <v>595106</v>
      </c>
      <c r="F403" s="4" t="n">
        <v>431771</v>
      </c>
      <c r="G403" s="4" t="n">
        <v>7</v>
      </c>
      <c r="H403" s="4" t="n">
        <f aca="false">E403+F403+G403</f>
        <v>1026884</v>
      </c>
      <c r="I403" s="4" t="n">
        <v>0</v>
      </c>
      <c r="J403" s="4" t="n">
        <v>785</v>
      </c>
      <c r="K403" s="4" t="n">
        <f aca="false">H403+J403</f>
        <v>1027669</v>
      </c>
      <c r="L403" s="4" t="n">
        <f aca="false">K403/D403*100</f>
        <v>58.0884551577174</v>
      </c>
      <c r="M403" s="4" t="n">
        <v>60.9050204430435</v>
      </c>
      <c r="N403" s="4" t="n">
        <v>54.6150129273488</v>
      </c>
      <c r="O403" s="4" t="n">
        <v>11.4754098360656</v>
      </c>
    </row>
    <row r="404" customFormat="false" ht="15" hidden="false" customHeight="false" outlineLevel="0" collapsed="false">
      <c r="A404" s="1" t="str">
        <f aca="false">A403</f>
        <v>Uttar Pradesh</v>
      </c>
      <c r="B404" s="4" t="n">
        <v>24</v>
      </c>
      <c r="C404" s="4" t="s">
        <v>436</v>
      </c>
      <c r="D404" s="4" t="n">
        <v>1653577</v>
      </c>
      <c r="E404" s="4" t="n">
        <v>572213</v>
      </c>
      <c r="F404" s="4" t="n">
        <v>422483</v>
      </c>
      <c r="G404" s="4" t="n">
        <v>4</v>
      </c>
      <c r="H404" s="4" t="n">
        <f aca="false">E404+F404+G404</f>
        <v>994700</v>
      </c>
      <c r="I404" s="4" t="n">
        <v>0</v>
      </c>
      <c r="J404" s="4" t="n">
        <v>1117</v>
      </c>
      <c r="K404" s="4" t="n">
        <f aca="false">H404+J404</f>
        <v>995817</v>
      </c>
      <c r="L404" s="4" t="n">
        <f aca="false">K404/D404*100</f>
        <v>60.2219914766594</v>
      </c>
      <c r="M404" s="4" t="n">
        <v>62.4662813102119</v>
      </c>
      <c r="N404" s="4" t="n">
        <v>57.4032834640641</v>
      </c>
      <c r="O404" s="4" t="n">
        <v>10.8108108108108</v>
      </c>
    </row>
    <row r="405" customFormat="false" ht="15" hidden="false" customHeight="false" outlineLevel="0" collapsed="false">
      <c r="A405" s="1" t="str">
        <f aca="false">A404</f>
        <v>Uttar Pradesh</v>
      </c>
      <c r="B405" s="4" t="n">
        <v>25</v>
      </c>
      <c r="C405" s="4" t="s">
        <v>437</v>
      </c>
      <c r="D405" s="4" t="n">
        <v>1664081</v>
      </c>
      <c r="E405" s="4" t="n">
        <v>574826</v>
      </c>
      <c r="F405" s="4" t="n">
        <v>441899</v>
      </c>
      <c r="G405" s="4" t="n">
        <v>3</v>
      </c>
      <c r="H405" s="4" t="n">
        <f aca="false">E405+F405+G405</f>
        <v>1016728</v>
      </c>
      <c r="I405" s="4" t="n">
        <v>0</v>
      </c>
      <c r="J405" s="4" t="n">
        <v>1372</v>
      </c>
      <c r="K405" s="4" t="n">
        <f aca="false">H405+J405</f>
        <v>1018100</v>
      </c>
      <c r="L405" s="4" t="n">
        <f aca="false">K405/D405*100</f>
        <v>61.180916073196</v>
      </c>
      <c r="M405" s="4" t="n">
        <v>63.136470975891</v>
      </c>
      <c r="N405" s="4" t="n">
        <v>58.7330173607696</v>
      </c>
      <c r="O405" s="4" t="n">
        <v>6.81818181818182</v>
      </c>
    </row>
    <row r="406" customFormat="false" ht="15" hidden="false" customHeight="false" outlineLevel="0" collapsed="false">
      <c r="A406" s="1" t="str">
        <f aca="false">A405</f>
        <v>Uttar Pradesh</v>
      </c>
      <c r="B406" s="4" t="n">
        <v>26</v>
      </c>
      <c r="C406" s="4" t="s">
        <v>438</v>
      </c>
      <c r="D406" s="4" t="n">
        <v>1671154</v>
      </c>
      <c r="E406" s="4" t="n">
        <v>586095</v>
      </c>
      <c r="F406" s="4" t="n">
        <v>464229</v>
      </c>
      <c r="G406" s="4" t="n">
        <v>18</v>
      </c>
      <c r="H406" s="4" t="n">
        <f aca="false">E406+F406+G406</f>
        <v>1050342</v>
      </c>
      <c r="I406" s="4" t="n">
        <v>0</v>
      </c>
      <c r="J406" s="4" t="n">
        <v>226</v>
      </c>
      <c r="K406" s="4" t="n">
        <f aca="false">H406+J406</f>
        <v>1050568</v>
      </c>
      <c r="L406" s="4" t="n">
        <f aca="false">K406/D406*100</f>
        <v>62.8648227512246</v>
      </c>
      <c r="M406" s="4" t="n">
        <v>64.9463835936124</v>
      </c>
      <c r="N406" s="4" t="n">
        <v>60.4974503259908</v>
      </c>
      <c r="O406" s="4" t="n">
        <v>33.9622641509434</v>
      </c>
    </row>
    <row r="407" customFormat="false" ht="15" hidden="false" customHeight="false" outlineLevel="0" collapsed="false">
      <c r="A407" s="1" t="str">
        <f aca="false">A406</f>
        <v>Uttar Pradesh</v>
      </c>
      <c r="B407" s="4" t="n">
        <v>27</v>
      </c>
      <c r="C407" s="4" t="s">
        <v>439</v>
      </c>
      <c r="D407" s="4" t="n">
        <v>1979294</v>
      </c>
      <c r="E407" s="4" t="n">
        <v>663380</v>
      </c>
      <c r="F407" s="4" t="n">
        <v>464707</v>
      </c>
      <c r="G407" s="4" t="n">
        <v>0</v>
      </c>
      <c r="H407" s="4" t="n">
        <f aca="false">E407+F407+G407</f>
        <v>1128087</v>
      </c>
      <c r="I407" s="4" t="n">
        <v>0</v>
      </c>
      <c r="J407" s="4" t="n">
        <v>2482</v>
      </c>
      <c r="K407" s="4" t="n">
        <f aca="false">H407+J407</f>
        <v>1130569</v>
      </c>
      <c r="L407" s="4" t="n">
        <f aca="false">K407/D407*100</f>
        <v>57.1198114075019</v>
      </c>
      <c r="M407" s="4" t="n">
        <v>60.349846801016</v>
      </c>
      <c r="N407" s="4" t="n">
        <v>52.882129364104</v>
      </c>
      <c r="O407" s="4" t="n">
        <v>0</v>
      </c>
    </row>
    <row r="408" customFormat="false" ht="15" hidden="false" customHeight="false" outlineLevel="0" collapsed="false">
      <c r="A408" s="1" t="str">
        <f aca="false">A407</f>
        <v>Uttar Pradesh</v>
      </c>
      <c r="B408" s="4" t="n">
        <v>28</v>
      </c>
      <c r="C408" s="4" t="s">
        <v>440</v>
      </c>
      <c r="D408" s="4" t="n">
        <v>1679466</v>
      </c>
      <c r="E408" s="4" t="n">
        <v>606219</v>
      </c>
      <c r="F408" s="4" t="n">
        <v>471614</v>
      </c>
      <c r="G408" s="4" t="n">
        <v>15</v>
      </c>
      <c r="H408" s="4" t="n">
        <f aca="false">E408+F408+G408</f>
        <v>1077848</v>
      </c>
      <c r="I408" s="4" t="n">
        <v>0</v>
      </c>
      <c r="J408" s="4" t="n">
        <v>33</v>
      </c>
      <c r="K408" s="4" t="n">
        <f aca="false">H408+J408</f>
        <v>1077881</v>
      </c>
      <c r="L408" s="4" t="n">
        <f aca="false">K408/D408*100</f>
        <v>64.1799833994853</v>
      </c>
      <c r="M408" s="4" t="n">
        <v>67.0298163869607</v>
      </c>
      <c r="N408" s="4" t="n">
        <v>60.9020624214695</v>
      </c>
      <c r="O408" s="4" t="n">
        <v>24.5901639344262</v>
      </c>
    </row>
    <row r="409" customFormat="false" ht="15" hidden="false" customHeight="false" outlineLevel="0" collapsed="false">
      <c r="A409" s="1" t="str">
        <f aca="false">A408</f>
        <v>Uttar Pradesh</v>
      </c>
      <c r="B409" s="4" t="n">
        <v>29</v>
      </c>
      <c r="C409" s="4" t="s">
        <v>441</v>
      </c>
      <c r="D409" s="4" t="n">
        <v>1558041</v>
      </c>
      <c r="E409" s="4" t="n">
        <v>605084</v>
      </c>
      <c r="F409" s="4" t="n">
        <v>454769</v>
      </c>
      <c r="G409" s="4" t="n">
        <v>14</v>
      </c>
      <c r="H409" s="4" t="n">
        <f aca="false">E409+F409+G409</f>
        <v>1059867</v>
      </c>
      <c r="I409" s="4" t="n">
        <v>0</v>
      </c>
      <c r="J409" s="4" t="n">
        <v>407</v>
      </c>
      <c r="K409" s="4" t="n">
        <f aca="false">H409+J409</f>
        <v>1060274</v>
      </c>
      <c r="L409" s="4" t="n">
        <f aca="false">K409/D409*100</f>
        <v>68.0517393316351</v>
      </c>
      <c r="M409" s="4" t="n">
        <v>71.4815296105093</v>
      </c>
      <c r="N409" s="4" t="n">
        <v>63.95855630579</v>
      </c>
      <c r="O409" s="4" t="n">
        <v>15.2173913043478</v>
      </c>
    </row>
    <row r="410" customFormat="false" ht="15" hidden="false" customHeight="false" outlineLevel="0" collapsed="false">
      <c r="A410" s="1" t="str">
        <f aca="false">A409</f>
        <v>Uttar Pradesh</v>
      </c>
      <c r="B410" s="4" t="n">
        <v>30</v>
      </c>
      <c r="C410" s="4" t="s">
        <v>442</v>
      </c>
      <c r="D410" s="4" t="n">
        <v>1550263</v>
      </c>
      <c r="E410" s="4" t="n">
        <v>581709</v>
      </c>
      <c r="F410" s="4" t="n">
        <v>444625</v>
      </c>
      <c r="G410" s="4" t="n">
        <v>0</v>
      </c>
      <c r="H410" s="4" t="n">
        <f aca="false">E410+F410+G410</f>
        <v>1026334</v>
      </c>
      <c r="I410" s="4" t="n">
        <v>0</v>
      </c>
      <c r="J410" s="4" t="n">
        <v>653</v>
      </c>
      <c r="K410" s="4" t="n">
        <f aca="false">H410+J410</f>
        <v>1026987</v>
      </c>
      <c r="L410" s="4" t="n">
        <f aca="false">K410/D410*100</f>
        <v>66.2459853586134</v>
      </c>
      <c r="M410" s="4" t="n">
        <v>69.4272844887261</v>
      </c>
      <c r="N410" s="4" t="n">
        <v>62.4512785218167</v>
      </c>
      <c r="O410" s="4" t="n">
        <v>0</v>
      </c>
    </row>
    <row r="411" customFormat="false" ht="15" hidden="false" customHeight="false" outlineLevel="0" collapsed="false">
      <c r="A411" s="1" t="str">
        <f aca="false">A410</f>
        <v>Uttar Pradesh</v>
      </c>
      <c r="B411" s="4" t="n">
        <v>31</v>
      </c>
      <c r="C411" s="4" t="s">
        <v>443</v>
      </c>
      <c r="D411" s="4" t="n">
        <v>1714388</v>
      </c>
      <c r="E411" s="4" t="n">
        <v>565516</v>
      </c>
      <c r="F411" s="4" t="n">
        <v>407349</v>
      </c>
      <c r="G411" s="4" t="n">
        <v>0</v>
      </c>
      <c r="H411" s="4" t="n">
        <f aca="false">E411+F411+G411</f>
        <v>972865</v>
      </c>
      <c r="I411" s="4" t="n">
        <v>0</v>
      </c>
      <c r="J411" s="4" t="n">
        <v>41</v>
      </c>
      <c r="K411" s="4" t="n">
        <f aca="false">H411+J411</f>
        <v>972906</v>
      </c>
      <c r="L411" s="4" t="n">
        <f aca="false">K411/D411*100</f>
        <v>56.7494639486511</v>
      </c>
      <c r="M411" s="4" t="n">
        <v>60.2161116932015</v>
      </c>
      <c r="N411" s="4" t="n">
        <v>52.6067085179555</v>
      </c>
      <c r="O411" s="4" t="n">
        <v>0</v>
      </c>
    </row>
    <row r="412" customFormat="false" ht="15" hidden="false" customHeight="false" outlineLevel="0" collapsed="false">
      <c r="A412" s="1" t="str">
        <f aca="false">A411</f>
        <v>Uttar Pradesh</v>
      </c>
      <c r="B412" s="4" t="n">
        <v>32</v>
      </c>
      <c r="C412" s="4" t="s">
        <v>444</v>
      </c>
      <c r="D412" s="4" t="n">
        <v>1725589</v>
      </c>
      <c r="E412" s="4" t="n">
        <v>574416</v>
      </c>
      <c r="F412" s="4" t="n">
        <v>423674</v>
      </c>
      <c r="G412" s="4" t="n">
        <v>0</v>
      </c>
      <c r="H412" s="4" t="n">
        <f aca="false">E412+F412+G412</f>
        <v>998090</v>
      </c>
      <c r="I412" s="4" t="n">
        <v>0</v>
      </c>
      <c r="J412" s="4" t="n">
        <v>224</v>
      </c>
      <c r="K412" s="4" t="n">
        <f aca="false">H412+J412</f>
        <v>998314</v>
      </c>
      <c r="L412" s="4" t="n">
        <f aca="false">K412/D412*100</f>
        <v>57.8535213193872</v>
      </c>
      <c r="M412" s="4" t="n">
        <v>60.6177903615755</v>
      </c>
      <c r="N412" s="4" t="n">
        <v>54.5233897432598</v>
      </c>
      <c r="O412" s="4" t="n">
        <v>0</v>
      </c>
    </row>
    <row r="413" customFormat="false" ht="15" hidden="false" customHeight="false" outlineLevel="0" collapsed="false">
      <c r="A413" s="1" t="str">
        <f aca="false">A412</f>
        <v>Uttar Pradesh</v>
      </c>
      <c r="B413" s="4" t="n">
        <v>33</v>
      </c>
      <c r="C413" s="4" t="s">
        <v>445</v>
      </c>
      <c r="D413" s="4" t="n">
        <v>2164392</v>
      </c>
      <c r="E413" s="4" t="n">
        <v>673666</v>
      </c>
      <c r="F413" s="4" t="n">
        <v>526266</v>
      </c>
      <c r="G413" s="4" t="n">
        <v>4</v>
      </c>
      <c r="H413" s="4" t="n">
        <f aca="false">E413+F413+G413</f>
        <v>1199936</v>
      </c>
      <c r="I413" s="4" t="n">
        <v>0</v>
      </c>
      <c r="J413" s="4" t="n">
        <v>1870</v>
      </c>
      <c r="K413" s="4" t="n">
        <f aca="false">H413+J413</f>
        <v>1201806</v>
      </c>
      <c r="L413" s="4" t="n">
        <f aca="false">K413/D413*100</f>
        <v>55.5262632646951</v>
      </c>
      <c r="M413" s="4" t="n">
        <v>56.4728230208156</v>
      </c>
      <c r="N413" s="4" t="n">
        <v>54.2995137181422</v>
      </c>
      <c r="O413" s="4" t="n">
        <v>5.06329113924051</v>
      </c>
    </row>
    <row r="414" customFormat="false" ht="15" hidden="false" customHeight="false" outlineLevel="0" collapsed="false">
      <c r="A414" s="1" t="str">
        <f aca="false">A413</f>
        <v>Uttar Pradesh</v>
      </c>
      <c r="B414" s="4" t="n">
        <v>34</v>
      </c>
      <c r="C414" s="4" t="s">
        <v>446</v>
      </c>
      <c r="D414" s="4" t="n">
        <v>1838194</v>
      </c>
      <c r="E414" s="4" t="n">
        <v>637851</v>
      </c>
      <c r="F414" s="4" t="n">
        <v>476997</v>
      </c>
      <c r="G414" s="4" t="n">
        <v>0</v>
      </c>
      <c r="H414" s="4" t="n">
        <f aca="false">E414+F414+G414</f>
        <v>1114848</v>
      </c>
      <c r="I414" s="4" t="n">
        <v>0</v>
      </c>
      <c r="J414" s="4" t="n">
        <v>1810</v>
      </c>
      <c r="K414" s="4" t="n">
        <f aca="false">H414+J414</f>
        <v>1116658</v>
      </c>
      <c r="L414" s="4" t="n">
        <f aca="false">K414/D414*100</f>
        <v>60.7475598331841</v>
      </c>
      <c r="M414" s="4" t="n">
        <v>64.1543080427862</v>
      </c>
      <c r="N414" s="4" t="n">
        <v>56.6258609677978</v>
      </c>
      <c r="O414" s="4" t="n">
        <v>0</v>
      </c>
    </row>
    <row r="415" customFormat="false" ht="15" hidden="false" customHeight="false" outlineLevel="0" collapsed="false">
      <c r="A415" s="1" t="str">
        <f aca="false">A414</f>
        <v>Uttar Pradesh</v>
      </c>
      <c r="B415" s="4" t="n">
        <v>35</v>
      </c>
      <c r="C415" s="4" t="s">
        <v>447</v>
      </c>
      <c r="D415" s="4" t="n">
        <v>1949956</v>
      </c>
      <c r="E415" s="4" t="n">
        <v>580513</v>
      </c>
      <c r="F415" s="4" t="n">
        <v>450547</v>
      </c>
      <c r="G415" s="4" t="n">
        <v>0</v>
      </c>
      <c r="H415" s="4" t="n">
        <f aca="false">E415+F415+G415</f>
        <v>1031060</v>
      </c>
      <c r="I415" s="4" t="n">
        <v>0</v>
      </c>
      <c r="J415" s="4" t="n">
        <v>3638</v>
      </c>
      <c r="K415" s="4" t="n">
        <f aca="false">H415+J415</f>
        <v>1034698</v>
      </c>
      <c r="L415" s="4" t="n">
        <f aca="false">K415/D415*100</f>
        <v>53.0626332081339</v>
      </c>
      <c r="M415" s="4" t="n">
        <v>55.2303018713187</v>
      </c>
      <c r="N415" s="4" t="n">
        <v>50.2221023309319</v>
      </c>
      <c r="O415" s="4" t="n">
        <v>0</v>
      </c>
    </row>
    <row r="416" customFormat="false" ht="15" hidden="false" customHeight="false" outlineLevel="0" collapsed="false">
      <c r="A416" s="1" t="str">
        <f aca="false">A415</f>
        <v>Uttar Pradesh</v>
      </c>
      <c r="B416" s="4" t="n">
        <v>36</v>
      </c>
      <c r="C416" s="4" t="s">
        <v>448</v>
      </c>
      <c r="D416" s="4" t="n">
        <v>1594954</v>
      </c>
      <c r="E416" s="4" t="n">
        <v>437762</v>
      </c>
      <c r="F416" s="4" t="n">
        <v>387368</v>
      </c>
      <c r="G416" s="4" t="n">
        <v>0</v>
      </c>
      <c r="H416" s="4" t="n">
        <f aca="false">E416+F416+G416</f>
        <v>825130</v>
      </c>
      <c r="I416" s="4" t="n">
        <v>0</v>
      </c>
      <c r="J416" s="4" t="n">
        <v>12</v>
      </c>
      <c r="K416" s="4" t="n">
        <f aca="false">H416+J416</f>
        <v>825142</v>
      </c>
      <c r="L416" s="4" t="n">
        <f aca="false">K416/D416*100</f>
        <v>51.7345327827636</v>
      </c>
      <c r="M416" s="4" t="n">
        <v>51.0834291182151</v>
      </c>
      <c r="N416" s="4" t="n">
        <v>52.590506860139</v>
      </c>
      <c r="O416" s="4" t="n">
        <v>0</v>
      </c>
    </row>
    <row r="417" customFormat="false" ht="15" hidden="false" customHeight="false" outlineLevel="0" collapsed="false">
      <c r="A417" s="1" t="str">
        <f aca="false">A416</f>
        <v>Uttar Pradesh</v>
      </c>
      <c r="B417" s="4" t="n">
        <v>37</v>
      </c>
      <c r="C417" s="4" t="s">
        <v>449</v>
      </c>
      <c r="D417" s="4" t="n">
        <v>1669843</v>
      </c>
      <c r="E417" s="4" t="n">
        <v>461524</v>
      </c>
      <c r="F417" s="4" t="n">
        <v>413341</v>
      </c>
      <c r="G417" s="4" t="n">
        <v>0</v>
      </c>
      <c r="H417" s="4" t="n">
        <f aca="false">E417+F417+G417</f>
        <v>874865</v>
      </c>
      <c r="I417" s="4" t="n">
        <v>0</v>
      </c>
      <c r="J417" s="4" t="n">
        <v>7</v>
      </c>
      <c r="K417" s="4" t="n">
        <f aca="false">H417+J417</f>
        <v>874872</v>
      </c>
      <c r="L417" s="4" t="n">
        <f aca="false">K417/D417*100</f>
        <v>52.3924704298548</v>
      </c>
      <c r="M417" s="4" t="n">
        <v>51.8763888717163</v>
      </c>
      <c r="N417" s="4" t="n">
        <v>53.0798815998151</v>
      </c>
      <c r="O417" s="4" t="n">
        <v>0</v>
      </c>
    </row>
    <row r="418" customFormat="false" ht="15" hidden="false" customHeight="false" outlineLevel="0" collapsed="false">
      <c r="A418" s="1" t="str">
        <f aca="false">A417</f>
        <v>Uttar Pradesh</v>
      </c>
      <c r="B418" s="4" t="n">
        <v>38</v>
      </c>
      <c r="C418" s="4" t="s">
        <v>450</v>
      </c>
      <c r="D418" s="4" t="n">
        <v>1703698</v>
      </c>
      <c r="E418" s="4" t="n">
        <v>499563</v>
      </c>
      <c r="F418" s="4" t="n">
        <v>465648</v>
      </c>
      <c r="G418" s="4" t="n">
        <v>0</v>
      </c>
      <c r="H418" s="4" t="n">
        <f aca="false">E418+F418+G418</f>
        <v>965211</v>
      </c>
      <c r="I418" s="4" t="n">
        <v>0</v>
      </c>
      <c r="J418" s="4" t="n">
        <v>99</v>
      </c>
      <c r="K418" s="4" t="n">
        <f aca="false">H418+J418</f>
        <v>965310</v>
      </c>
      <c r="L418" s="4" t="n">
        <f aca="false">K418/D418*100</f>
        <v>56.6596896867872</v>
      </c>
      <c r="M418" s="4" t="n">
        <v>54.9663146845529</v>
      </c>
      <c r="N418" s="4" t="n">
        <v>58.7244636080798</v>
      </c>
      <c r="O418" s="4" t="n">
        <v>0</v>
      </c>
    </row>
    <row r="419" customFormat="false" ht="15" hidden="false" customHeight="false" outlineLevel="0" collapsed="false">
      <c r="A419" s="1" t="str">
        <f aca="false">A418</f>
        <v>Uttar Pradesh</v>
      </c>
      <c r="B419" s="4" t="n">
        <v>39</v>
      </c>
      <c r="C419" s="4" t="s">
        <v>451</v>
      </c>
      <c r="D419" s="4" t="n">
        <v>1716394</v>
      </c>
      <c r="E419" s="4" t="n">
        <v>454891</v>
      </c>
      <c r="F419" s="4" t="n">
        <v>437808</v>
      </c>
      <c r="G419" s="4" t="n">
        <v>33</v>
      </c>
      <c r="H419" s="4" t="n">
        <f aca="false">E419+F419+G419</f>
        <v>892732</v>
      </c>
      <c r="I419" s="4" t="n">
        <v>0</v>
      </c>
      <c r="J419" s="4" t="n">
        <v>1792</v>
      </c>
      <c r="K419" s="4" t="n">
        <f aca="false">H419+J419</f>
        <v>894524</v>
      </c>
      <c r="L419" s="4" t="n">
        <f aca="false">K419/D419*100</f>
        <v>52.1164720920721</v>
      </c>
      <c r="M419" s="4" t="n">
        <v>49.3066153899516</v>
      </c>
      <c r="N419" s="4" t="n">
        <v>55.246979012084</v>
      </c>
      <c r="O419" s="4" t="n">
        <v>25.1908396946565</v>
      </c>
    </row>
    <row r="420" customFormat="false" ht="15" hidden="false" customHeight="false" outlineLevel="0" collapsed="false">
      <c r="A420" s="1" t="str">
        <f aca="false">A419</f>
        <v>Uttar Pradesh</v>
      </c>
      <c r="B420" s="4" t="n">
        <v>40</v>
      </c>
      <c r="C420" s="4" t="s">
        <v>452</v>
      </c>
      <c r="D420" s="4" t="n">
        <v>1613781</v>
      </c>
      <c r="E420" s="4" t="n">
        <v>560618</v>
      </c>
      <c r="F420" s="4" t="n">
        <v>409931</v>
      </c>
      <c r="G420" s="4" t="n">
        <v>0</v>
      </c>
      <c r="H420" s="4" t="n">
        <f aca="false">E420+F420+G420</f>
        <v>970549</v>
      </c>
      <c r="I420" s="4" t="n">
        <v>0</v>
      </c>
      <c r="J420" s="4" t="n">
        <v>200</v>
      </c>
      <c r="K420" s="4" t="n">
        <f aca="false">H420+J420</f>
        <v>970749</v>
      </c>
      <c r="L420" s="4" t="n">
        <f aca="false">K420/D420*100</f>
        <v>60.1537011527586</v>
      </c>
      <c r="M420" s="4" t="n">
        <v>62.9831436185272</v>
      </c>
      <c r="N420" s="4" t="n">
        <v>56.8491925362475</v>
      </c>
      <c r="O420" s="4" t="n">
        <v>0</v>
      </c>
    </row>
    <row r="421" customFormat="false" ht="15" hidden="false" customHeight="false" outlineLevel="0" collapsed="false">
      <c r="A421" s="1" t="str">
        <f aca="false">A420</f>
        <v>Uttar Pradesh</v>
      </c>
      <c r="B421" s="4" t="n">
        <v>41</v>
      </c>
      <c r="C421" s="4" t="s">
        <v>453</v>
      </c>
      <c r="D421" s="4" t="n">
        <v>1707237</v>
      </c>
      <c r="E421" s="4" t="n">
        <v>529547</v>
      </c>
      <c r="F421" s="4" t="n">
        <v>408334</v>
      </c>
      <c r="G421" s="4" t="n">
        <v>0</v>
      </c>
      <c r="H421" s="4" t="n">
        <f aca="false">E421+F421+G421</f>
        <v>937881</v>
      </c>
      <c r="I421" s="4" t="n">
        <v>0</v>
      </c>
      <c r="J421" s="4" t="n">
        <v>2012</v>
      </c>
      <c r="K421" s="4" t="n">
        <f aca="false">H421+J421</f>
        <v>939893</v>
      </c>
      <c r="L421" s="4" t="n">
        <f aca="false">K421/D421*100</f>
        <v>55.0534577214528</v>
      </c>
      <c r="M421" s="4" t="n">
        <v>56.544000034169</v>
      </c>
      <c r="N421" s="4" t="n">
        <v>53.1702203847781</v>
      </c>
      <c r="O421" s="4" t="n">
        <v>0</v>
      </c>
    </row>
    <row r="422" customFormat="false" ht="15" hidden="false" customHeight="false" outlineLevel="0" collapsed="false">
      <c r="A422" s="1" t="str">
        <f aca="false">A421</f>
        <v>Uttar Pradesh</v>
      </c>
      <c r="B422" s="4" t="n">
        <v>42</v>
      </c>
      <c r="C422" s="4" t="s">
        <v>454</v>
      </c>
      <c r="D422" s="4" t="n">
        <v>1808886</v>
      </c>
      <c r="E422" s="4" t="n">
        <v>629125</v>
      </c>
      <c r="F422" s="4" t="n">
        <v>484744</v>
      </c>
      <c r="G422" s="4" t="n">
        <v>0</v>
      </c>
      <c r="H422" s="4" t="n">
        <f aca="false">E422+F422+G422</f>
        <v>1113869</v>
      </c>
      <c r="I422" s="4" t="n">
        <v>0</v>
      </c>
      <c r="J422" s="4" t="n">
        <v>707</v>
      </c>
      <c r="K422" s="4" t="n">
        <f aca="false">H422+J422</f>
        <v>1114576</v>
      </c>
      <c r="L422" s="4" t="n">
        <f aca="false">K422/D422*100</f>
        <v>61.6167077416708</v>
      </c>
      <c r="M422" s="4" t="n">
        <v>63.0258204251244</v>
      </c>
      <c r="N422" s="4" t="n">
        <v>59.999678182374</v>
      </c>
      <c r="O422" s="4" t="n">
        <v>0</v>
      </c>
    </row>
    <row r="423" customFormat="false" ht="15" hidden="false" customHeight="false" outlineLevel="0" collapsed="false">
      <c r="A423" s="1" t="str">
        <f aca="false">A422</f>
        <v>Uttar Pradesh</v>
      </c>
      <c r="B423" s="4" t="n">
        <v>43</v>
      </c>
      <c r="C423" s="4" t="s">
        <v>455</v>
      </c>
      <c r="D423" s="4" t="n">
        <v>1611248</v>
      </c>
      <c r="E423" s="4" t="n">
        <v>485562</v>
      </c>
      <c r="F423" s="4" t="n">
        <v>349156</v>
      </c>
      <c r="G423" s="4" t="n">
        <v>0</v>
      </c>
      <c r="H423" s="4" t="n">
        <f aca="false">E423+F423+G423</f>
        <v>834718</v>
      </c>
      <c r="I423" s="4" t="n">
        <v>0</v>
      </c>
      <c r="J423" s="4" t="n">
        <v>407</v>
      </c>
      <c r="K423" s="4" t="n">
        <f aca="false">H423+J423</f>
        <v>835125</v>
      </c>
      <c r="L423" s="4" t="n">
        <f aca="false">K423/D423*100</f>
        <v>51.8309409848763</v>
      </c>
      <c r="M423" s="4" t="n">
        <v>54.6247963784616</v>
      </c>
      <c r="N423" s="4" t="n">
        <v>48.3857601554304</v>
      </c>
      <c r="O423" s="4" t="n">
        <v>0</v>
      </c>
    </row>
    <row r="424" customFormat="false" ht="15" hidden="false" customHeight="false" outlineLevel="0" collapsed="false">
      <c r="A424" s="1" t="str">
        <f aca="false">A423</f>
        <v>Uttar Pradesh</v>
      </c>
      <c r="B424" s="4" t="n">
        <v>44</v>
      </c>
      <c r="C424" s="4" t="s">
        <v>456</v>
      </c>
      <c r="D424" s="4" t="n">
        <v>1768635</v>
      </c>
      <c r="E424" s="4" t="n">
        <v>559566</v>
      </c>
      <c r="F424" s="4" t="n">
        <v>411414</v>
      </c>
      <c r="G424" s="4" t="n">
        <v>0</v>
      </c>
      <c r="H424" s="4" t="n">
        <f aca="false">E424+F424+G424</f>
        <v>970980</v>
      </c>
      <c r="I424" s="4" t="n">
        <v>0</v>
      </c>
      <c r="J424" s="4" t="n">
        <v>468</v>
      </c>
      <c r="K424" s="4" t="n">
        <f aca="false">H424+J424</f>
        <v>971448</v>
      </c>
      <c r="L424" s="4" t="n">
        <f aca="false">K424/D424*100</f>
        <v>54.9264263118168</v>
      </c>
      <c r="M424" s="4" t="n">
        <v>57.309798973359</v>
      </c>
      <c r="N424" s="4" t="n">
        <v>52.0556472888079</v>
      </c>
      <c r="O424" s="4" t="n">
        <v>0</v>
      </c>
    </row>
    <row r="425" customFormat="false" ht="15" hidden="false" customHeight="false" outlineLevel="0" collapsed="false">
      <c r="A425" s="1" t="str">
        <f aca="false">A424</f>
        <v>Uttar Pradesh</v>
      </c>
      <c r="B425" s="4" t="n">
        <v>45</v>
      </c>
      <c r="C425" s="4" t="s">
        <v>457</v>
      </c>
      <c r="D425" s="4" t="n">
        <v>1887189</v>
      </c>
      <c r="E425" s="4" t="n">
        <v>632802</v>
      </c>
      <c r="F425" s="4" t="n">
        <v>476033</v>
      </c>
      <c r="G425" s="4" t="n">
        <v>11</v>
      </c>
      <c r="H425" s="4" t="n">
        <f aca="false">E425+F425+G425</f>
        <v>1108846</v>
      </c>
      <c r="I425" s="4" t="n">
        <v>0</v>
      </c>
      <c r="J425" s="4" t="n">
        <v>351</v>
      </c>
      <c r="K425" s="4" t="n">
        <f aca="false">H425+J425</f>
        <v>1109197</v>
      </c>
      <c r="L425" s="4" t="n">
        <f aca="false">K425/D425*100</f>
        <v>58.7750882397047</v>
      </c>
      <c r="M425" s="4" t="n">
        <v>61.0124290255494</v>
      </c>
      <c r="N425" s="4" t="n">
        <v>56.0377687213209</v>
      </c>
      <c r="O425" s="4" t="n">
        <v>45.8333333333333</v>
      </c>
    </row>
    <row r="426" customFormat="false" ht="15" hidden="false" customHeight="false" outlineLevel="0" collapsed="false">
      <c r="A426" s="1" t="str">
        <f aca="false">A425</f>
        <v>Uttar Pradesh</v>
      </c>
      <c r="B426" s="4" t="n">
        <v>46</v>
      </c>
      <c r="C426" s="4" t="s">
        <v>458</v>
      </c>
      <c r="D426" s="4" t="n">
        <v>1932052</v>
      </c>
      <c r="E426" s="4" t="n">
        <v>734228</v>
      </c>
      <c r="F426" s="4" t="n">
        <v>586213</v>
      </c>
      <c r="G426" s="4" t="n">
        <v>0</v>
      </c>
      <c r="H426" s="4" t="n">
        <f aca="false">E426+F426+G426</f>
        <v>1320441</v>
      </c>
      <c r="I426" s="4" t="n">
        <v>0</v>
      </c>
      <c r="J426" s="4" t="n">
        <v>426</v>
      </c>
      <c r="K426" s="4" t="n">
        <f aca="false">H426+J426</f>
        <v>1320867</v>
      </c>
      <c r="L426" s="4" t="n">
        <f aca="false">K426/D426*100</f>
        <v>68.3660170637229</v>
      </c>
      <c r="M426" s="4" t="n">
        <v>71.0158594748199</v>
      </c>
      <c r="N426" s="4" t="n">
        <v>65.2919863716304</v>
      </c>
      <c r="O426" s="4" t="n">
        <v>0</v>
      </c>
    </row>
    <row r="427" customFormat="false" ht="15" hidden="false" customHeight="false" outlineLevel="0" collapsed="false">
      <c r="A427" s="1" t="str">
        <f aca="false">A426</f>
        <v>Uttar Pradesh</v>
      </c>
      <c r="B427" s="4" t="n">
        <v>47</v>
      </c>
      <c r="C427" s="4" t="s">
        <v>161</v>
      </c>
      <c r="D427" s="4" t="n">
        <v>1737993</v>
      </c>
      <c r="E427" s="4" t="n">
        <v>550111</v>
      </c>
      <c r="F427" s="4" t="n">
        <v>427480</v>
      </c>
      <c r="G427" s="4" t="n">
        <v>2</v>
      </c>
      <c r="H427" s="4" t="n">
        <f aca="false">E427+F427+G427</f>
        <v>977593</v>
      </c>
      <c r="I427" s="4" t="n">
        <v>0</v>
      </c>
      <c r="J427" s="4" t="n">
        <v>337</v>
      </c>
      <c r="K427" s="4" t="n">
        <f aca="false">H427+J427</f>
        <v>977930</v>
      </c>
      <c r="L427" s="4" t="n">
        <f aca="false">K427/D427*100</f>
        <v>56.2677755318923</v>
      </c>
      <c r="M427" s="4" t="n">
        <v>58.0131040977461</v>
      </c>
      <c r="N427" s="4" t="n">
        <v>54.2469410907762</v>
      </c>
      <c r="O427" s="4" t="n">
        <v>6.89655172413793</v>
      </c>
    </row>
    <row r="428" customFormat="false" ht="15" hidden="false" customHeight="false" outlineLevel="0" collapsed="false">
      <c r="A428" s="1" t="str">
        <f aca="false">A427</f>
        <v>Uttar Pradesh</v>
      </c>
      <c r="B428" s="4" t="n">
        <v>48</v>
      </c>
      <c r="C428" s="4" t="s">
        <v>459</v>
      </c>
      <c r="D428" s="4" t="n">
        <v>1601855</v>
      </c>
      <c r="E428" s="4" t="n">
        <v>473933</v>
      </c>
      <c r="F428" s="4" t="n">
        <v>384301</v>
      </c>
      <c r="G428" s="4" t="n">
        <v>0</v>
      </c>
      <c r="H428" s="4" t="n">
        <f aca="false">E428+F428+G428</f>
        <v>858234</v>
      </c>
      <c r="I428" s="4" t="n">
        <v>0</v>
      </c>
      <c r="J428" s="4" t="n">
        <v>455</v>
      </c>
      <c r="K428" s="4" t="n">
        <f aca="false">H428+J428</f>
        <v>858689</v>
      </c>
      <c r="L428" s="4" t="n">
        <f aca="false">K428/D428*100</f>
        <v>53.6059131444482</v>
      </c>
      <c r="M428" s="4" t="n">
        <v>53.5877187626497</v>
      </c>
      <c r="N428" s="4" t="n">
        <v>53.6128224015357</v>
      </c>
      <c r="O428" s="4" t="n">
        <v>0</v>
      </c>
    </row>
    <row r="429" customFormat="false" ht="15" hidden="false" customHeight="false" outlineLevel="0" collapsed="false">
      <c r="A429" s="1" t="str">
        <f aca="false">A428</f>
        <v>Uttar Pradesh</v>
      </c>
      <c r="B429" s="4" t="n">
        <v>49</v>
      </c>
      <c r="C429" s="4" t="s">
        <v>460</v>
      </c>
      <c r="D429" s="4" t="n">
        <v>1804753</v>
      </c>
      <c r="E429" s="4" t="n">
        <v>574629</v>
      </c>
      <c r="F429" s="4" t="n">
        <v>481306</v>
      </c>
      <c r="G429" s="4" t="n">
        <v>5</v>
      </c>
      <c r="H429" s="4" t="n">
        <f aca="false">E429+F429+G429</f>
        <v>1055940</v>
      </c>
      <c r="I429" s="4" t="n">
        <v>0</v>
      </c>
      <c r="J429" s="4" t="n">
        <v>1252</v>
      </c>
      <c r="K429" s="4" t="n">
        <f aca="false">H429+J429</f>
        <v>1057192</v>
      </c>
      <c r="L429" s="4" t="n">
        <f aca="false">K429/D429*100</f>
        <v>58.5782098713785</v>
      </c>
      <c r="M429" s="4" t="n">
        <v>58.3557428658475</v>
      </c>
      <c r="N429" s="4" t="n">
        <v>58.8148461338244</v>
      </c>
      <c r="O429" s="4" t="n">
        <v>14.7058823529412</v>
      </c>
    </row>
    <row r="430" customFormat="false" ht="15" hidden="false" customHeight="false" outlineLevel="0" collapsed="false">
      <c r="A430" s="1" t="str">
        <f aca="false">A429</f>
        <v>Uttar Pradesh</v>
      </c>
      <c r="B430" s="4" t="n">
        <v>50</v>
      </c>
      <c r="C430" s="4" t="s">
        <v>461</v>
      </c>
      <c r="D430" s="4" t="n">
        <v>1738509</v>
      </c>
      <c r="E430" s="4" t="n">
        <v>491070</v>
      </c>
      <c r="F430" s="4" t="n">
        <v>418758</v>
      </c>
      <c r="G430" s="4" t="n">
        <v>0</v>
      </c>
      <c r="H430" s="4" t="n">
        <f aca="false">E430+F430+G430</f>
        <v>909828</v>
      </c>
      <c r="I430" s="4" t="n">
        <v>0</v>
      </c>
      <c r="J430" s="4" t="n">
        <v>686</v>
      </c>
      <c r="K430" s="4" t="n">
        <f aca="false">H430+J430</f>
        <v>910514</v>
      </c>
      <c r="L430" s="4" t="n">
        <f aca="false">K430/D430*100</f>
        <v>52.3732692784449</v>
      </c>
      <c r="M430" s="4" t="n">
        <v>51.4811564940354</v>
      </c>
      <c r="N430" s="4" t="n">
        <v>53.4797917297237</v>
      </c>
      <c r="O430" s="4" t="n">
        <v>0</v>
      </c>
    </row>
    <row r="431" customFormat="false" ht="15" hidden="false" customHeight="false" outlineLevel="0" collapsed="false">
      <c r="A431" s="1" t="str">
        <f aca="false">A430</f>
        <v>Uttar Pradesh</v>
      </c>
      <c r="B431" s="4" t="n">
        <v>51</v>
      </c>
      <c r="C431" s="4" t="s">
        <v>462</v>
      </c>
      <c r="D431" s="4" t="n">
        <v>1913275</v>
      </c>
      <c r="E431" s="4" t="n">
        <v>541264</v>
      </c>
      <c r="F431" s="4" t="n">
        <v>418152</v>
      </c>
      <c r="G431" s="4" t="n">
        <v>4</v>
      </c>
      <c r="H431" s="4" t="n">
        <f aca="false">E431+F431+G431</f>
        <v>959420</v>
      </c>
      <c r="I431" s="4" t="n">
        <v>0</v>
      </c>
      <c r="J431" s="4" t="n">
        <v>999</v>
      </c>
      <c r="K431" s="4" t="n">
        <f aca="false">H431+J431</f>
        <v>960419</v>
      </c>
      <c r="L431" s="4" t="n">
        <f aca="false">K431/D431*100</f>
        <v>50.1976453985967</v>
      </c>
      <c r="M431" s="4" t="n">
        <v>50.9015812231863</v>
      </c>
      <c r="N431" s="4" t="n">
        <v>49.2563580036045</v>
      </c>
      <c r="O431" s="4" t="n">
        <v>2.17391304347826</v>
      </c>
    </row>
    <row r="432" customFormat="false" ht="15" hidden="false" customHeight="false" outlineLevel="0" collapsed="false">
      <c r="A432" s="1" t="str">
        <f aca="false">A431</f>
        <v>Uttar Pradesh</v>
      </c>
      <c r="B432" s="4" t="n">
        <v>52</v>
      </c>
      <c r="C432" s="4" t="s">
        <v>463</v>
      </c>
      <c r="D432" s="4" t="n">
        <v>1666569</v>
      </c>
      <c r="E432" s="4" t="n">
        <v>506755</v>
      </c>
      <c r="F432" s="4" t="n">
        <v>384075</v>
      </c>
      <c r="G432" s="4" t="n">
        <v>3</v>
      </c>
      <c r="H432" s="4" t="n">
        <f aca="false">E432+F432+G432</f>
        <v>890833</v>
      </c>
      <c r="I432" s="4" t="n">
        <v>0</v>
      </c>
      <c r="J432" s="4" t="n">
        <v>802</v>
      </c>
      <c r="K432" s="4" t="n">
        <f aca="false">H432+J432</f>
        <v>891635</v>
      </c>
      <c r="L432" s="4" t="n">
        <f aca="false">K432/D432*100</f>
        <v>53.5012351723811</v>
      </c>
      <c r="M432" s="4" t="n">
        <v>55.2530493821642</v>
      </c>
      <c r="N432" s="4" t="n">
        <v>51.2869303955934</v>
      </c>
      <c r="O432" s="4" t="n">
        <v>1.81818181818182</v>
      </c>
    </row>
    <row r="433" customFormat="false" ht="15" hidden="false" customHeight="false" outlineLevel="0" collapsed="false">
      <c r="A433" s="1" t="str">
        <f aca="false">A432</f>
        <v>Uttar Pradesh</v>
      </c>
      <c r="B433" s="4" t="n">
        <v>53</v>
      </c>
      <c r="C433" s="4" t="s">
        <v>464</v>
      </c>
      <c r="D433" s="4" t="n">
        <v>1721278</v>
      </c>
      <c r="E433" s="4" t="n">
        <v>611146</v>
      </c>
      <c r="F433" s="4" t="n">
        <v>457015</v>
      </c>
      <c r="G433" s="4" t="n">
        <v>0</v>
      </c>
      <c r="H433" s="4" t="n">
        <f aca="false">E433+F433+G433</f>
        <v>1068161</v>
      </c>
      <c r="I433" s="4" t="n">
        <v>0</v>
      </c>
      <c r="J433" s="4" t="n">
        <v>8</v>
      </c>
      <c r="K433" s="4" t="n">
        <f aca="false">H433+J433</f>
        <v>1068169</v>
      </c>
      <c r="L433" s="4" t="n">
        <f aca="false">K433/D433*100</f>
        <v>62.0567392367764</v>
      </c>
      <c r="M433" s="4" t="n">
        <v>66.0310044687233</v>
      </c>
      <c r="N433" s="4" t="n">
        <v>57.481463779691</v>
      </c>
      <c r="O433" s="4" t="n">
        <v>0</v>
      </c>
    </row>
    <row r="434" customFormat="false" ht="15" hidden="false" customHeight="false" outlineLevel="0" collapsed="false">
      <c r="A434" s="1" t="str">
        <f aca="false">A433</f>
        <v>Uttar Pradesh</v>
      </c>
      <c r="B434" s="4" t="n">
        <v>54</v>
      </c>
      <c r="C434" s="4" t="s">
        <v>465</v>
      </c>
      <c r="D434" s="4" t="n">
        <v>1738701</v>
      </c>
      <c r="E434" s="4" t="n">
        <v>558076</v>
      </c>
      <c r="F434" s="4" t="n">
        <v>464473</v>
      </c>
      <c r="G434" s="4" t="n">
        <v>9</v>
      </c>
      <c r="H434" s="4" t="n">
        <f aca="false">E434+F434+G434</f>
        <v>1022558</v>
      </c>
      <c r="I434" s="4" t="n">
        <v>0</v>
      </c>
      <c r="J434" s="4" t="n">
        <v>176</v>
      </c>
      <c r="K434" s="4" t="n">
        <f aca="false">H434+J434</f>
        <v>1022734</v>
      </c>
      <c r="L434" s="4" t="n">
        <f aca="false">K434/D434*100</f>
        <v>58.8217295555705</v>
      </c>
      <c r="M434" s="4" t="n">
        <v>59.6971051916572</v>
      </c>
      <c r="N434" s="4" t="n">
        <v>57.9128227315744</v>
      </c>
      <c r="O434" s="4" t="n">
        <v>14.7540983606557</v>
      </c>
    </row>
    <row r="435" customFormat="false" ht="15" hidden="false" customHeight="false" outlineLevel="0" collapsed="false">
      <c r="A435" s="1" t="str">
        <f aca="false">A434</f>
        <v>Uttar Pradesh</v>
      </c>
      <c r="B435" s="4" t="n">
        <v>55</v>
      </c>
      <c r="C435" s="4" t="s">
        <v>466</v>
      </c>
      <c r="D435" s="4" t="n">
        <v>1718774</v>
      </c>
      <c r="E435" s="4" t="n">
        <v>541195</v>
      </c>
      <c r="F435" s="4" t="n">
        <v>493159</v>
      </c>
      <c r="G435" s="4" t="n">
        <v>1</v>
      </c>
      <c r="H435" s="4" t="n">
        <f aca="false">E435+F435+G435</f>
        <v>1034355</v>
      </c>
      <c r="I435" s="4" t="n">
        <v>0</v>
      </c>
      <c r="J435" s="4" t="n">
        <v>80</v>
      </c>
      <c r="K435" s="4" t="n">
        <f aca="false">H435+J435</f>
        <v>1034435</v>
      </c>
      <c r="L435" s="4" t="n">
        <f aca="false">K435/D435*100</f>
        <v>60.1844686968735</v>
      </c>
      <c r="M435" s="4" t="n">
        <v>58.6639625206225</v>
      </c>
      <c r="N435" s="4" t="n">
        <v>62.0591977187699</v>
      </c>
      <c r="O435" s="4" t="n">
        <v>1.26582278481013</v>
      </c>
    </row>
    <row r="436" customFormat="false" ht="15" hidden="false" customHeight="false" outlineLevel="0" collapsed="false">
      <c r="A436" s="1" t="str">
        <f aca="false">A435</f>
        <v>Uttar Pradesh</v>
      </c>
      <c r="B436" s="4" t="n">
        <v>56</v>
      </c>
      <c r="C436" s="4" t="s">
        <v>467</v>
      </c>
      <c r="D436" s="4" t="n">
        <v>1638640</v>
      </c>
      <c r="E436" s="4" t="n">
        <v>522529</v>
      </c>
      <c r="F436" s="4" t="n">
        <v>411550</v>
      </c>
      <c r="G436" s="4" t="n">
        <v>2</v>
      </c>
      <c r="H436" s="4" t="n">
        <f aca="false">E436+F436+G436</f>
        <v>934081</v>
      </c>
      <c r="I436" s="4" t="n">
        <v>0</v>
      </c>
      <c r="J436" s="4" t="n">
        <v>249</v>
      </c>
      <c r="K436" s="4" t="n">
        <f aca="false">H436+J436</f>
        <v>934330</v>
      </c>
      <c r="L436" s="4" t="n">
        <f aca="false">K436/D436*100</f>
        <v>57.0186252013865</v>
      </c>
      <c r="M436" s="4" t="n">
        <v>59.2086760541675</v>
      </c>
      <c r="N436" s="4" t="n">
        <v>54.4470492358495</v>
      </c>
      <c r="O436" s="4" t="n">
        <v>2</v>
      </c>
    </row>
    <row r="437" customFormat="false" ht="15" hidden="false" customHeight="false" outlineLevel="0" collapsed="false">
      <c r="A437" s="1" t="str">
        <f aca="false">A436</f>
        <v>Uttar Pradesh</v>
      </c>
      <c r="B437" s="4" t="n">
        <v>57</v>
      </c>
      <c r="C437" s="4" t="s">
        <v>468</v>
      </c>
      <c r="D437" s="4" t="n">
        <v>1711967</v>
      </c>
      <c r="E437" s="4" t="n">
        <v>527027</v>
      </c>
      <c r="F437" s="4" t="n">
        <v>415386</v>
      </c>
      <c r="G437" s="4" t="n">
        <v>0</v>
      </c>
      <c r="H437" s="4" t="n">
        <f aca="false">E437+F437+G437</f>
        <v>942413</v>
      </c>
      <c r="I437" s="4" t="n">
        <v>0</v>
      </c>
      <c r="J437" s="4" t="n">
        <v>1024</v>
      </c>
      <c r="K437" s="4" t="n">
        <f aca="false">H437+J437</f>
        <v>943437</v>
      </c>
      <c r="L437" s="4" t="n">
        <f aca="false">K437/D437*100</f>
        <v>55.108363654206</v>
      </c>
      <c r="M437" s="4" t="n">
        <v>56.807802211187</v>
      </c>
      <c r="N437" s="4" t="n">
        <v>53.023419679066</v>
      </c>
      <c r="O437" s="4" t="n">
        <v>0</v>
      </c>
    </row>
    <row r="438" customFormat="false" ht="15" hidden="false" customHeight="false" outlineLevel="0" collapsed="false">
      <c r="A438" s="1" t="str">
        <f aca="false">A437</f>
        <v>Uttar Pradesh</v>
      </c>
      <c r="B438" s="4" t="n">
        <v>58</v>
      </c>
      <c r="C438" s="4" t="s">
        <v>469</v>
      </c>
      <c r="D438" s="4" t="n">
        <v>1788080</v>
      </c>
      <c r="E438" s="4" t="n">
        <v>559351</v>
      </c>
      <c r="F438" s="4" t="n">
        <v>420598</v>
      </c>
      <c r="G438" s="4" t="n">
        <v>2</v>
      </c>
      <c r="H438" s="4" t="n">
        <f aca="false">E438+F438+G438</f>
        <v>979951</v>
      </c>
      <c r="I438" s="4" t="n">
        <v>0</v>
      </c>
      <c r="J438" s="4" t="n">
        <v>245</v>
      </c>
      <c r="K438" s="4" t="n">
        <f aca="false">H438+J438</f>
        <v>980196</v>
      </c>
      <c r="L438" s="4" t="n">
        <f aca="false">K438/D438*100</f>
        <v>54.818352646414</v>
      </c>
      <c r="M438" s="4" t="n">
        <v>57.2898913506604</v>
      </c>
      <c r="N438" s="4" t="n">
        <v>51.8245252168299</v>
      </c>
      <c r="O438" s="4" t="n">
        <v>3.84615384615385</v>
      </c>
    </row>
    <row r="439" customFormat="false" ht="15" hidden="false" customHeight="false" outlineLevel="0" collapsed="false">
      <c r="A439" s="1" t="str">
        <f aca="false">A438</f>
        <v>Uttar Pradesh</v>
      </c>
      <c r="B439" s="4" t="n">
        <v>59</v>
      </c>
      <c r="C439" s="4" t="s">
        <v>470</v>
      </c>
      <c r="D439" s="4" t="n">
        <v>1710825</v>
      </c>
      <c r="E439" s="4" t="n">
        <v>487483</v>
      </c>
      <c r="F439" s="4" t="n">
        <v>384938</v>
      </c>
      <c r="G439" s="4" t="n">
        <v>1</v>
      </c>
      <c r="H439" s="4" t="n">
        <f aca="false">E439+F439+G439</f>
        <v>872422</v>
      </c>
      <c r="I439" s="4" t="n">
        <v>0</v>
      </c>
      <c r="J439" s="4" t="n">
        <v>1512</v>
      </c>
      <c r="K439" s="4" t="n">
        <f aca="false">H439+J439</f>
        <v>873934</v>
      </c>
      <c r="L439" s="4" t="n">
        <f aca="false">K439/D439*100</f>
        <v>51.0826063448921</v>
      </c>
      <c r="M439" s="4" t="n">
        <v>52.1442461764901</v>
      </c>
      <c r="N439" s="4" t="n">
        <v>49.6389954543989</v>
      </c>
      <c r="O439" s="4" t="n">
        <v>2</v>
      </c>
    </row>
    <row r="440" customFormat="false" ht="15" hidden="false" customHeight="false" outlineLevel="0" collapsed="false">
      <c r="A440" s="1" t="str">
        <f aca="false">A439</f>
        <v>Uttar Pradesh</v>
      </c>
      <c r="B440" s="4" t="n">
        <v>60</v>
      </c>
      <c r="C440" s="4" t="s">
        <v>471</v>
      </c>
      <c r="D440" s="4" t="n">
        <v>1761415</v>
      </c>
      <c r="E440" s="4" t="n">
        <v>490089</v>
      </c>
      <c r="F440" s="4" t="n">
        <v>444938</v>
      </c>
      <c r="G440" s="4" t="n">
        <v>0</v>
      </c>
      <c r="H440" s="4" t="n">
        <f aca="false">E440+F440+G440</f>
        <v>935027</v>
      </c>
      <c r="I440" s="4" t="n">
        <v>0</v>
      </c>
      <c r="J440" s="4" t="n">
        <v>2</v>
      </c>
      <c r="K440" s="4" t="n">
        <f aca="false">H440+J440</f>
        <v>935029</v>
      </c>
      <c r="L440" s="4" t="n">
        <f aca="false">K440/D440*100</f>
        <v>53.083969422311</v>
      </c>
      <c r="M440" s="4" t="n">
        <v>50.9503106364929</v>
      </c>
      <c r="N440" s="4" t="n">
        <v>55.66762920443</v>
      </c>
      <c r="O440" s="4" t="n">
        <v>0</v>
      </c>
    </row>
    <row r="441" customFormat="false" ht="15" hidden="false" customHeight="false" outlineLevel="0" collapsed="false">
      <c r="A441" s="1" t="str">
        <f aca="false">A440</f>
        <v>Uttar Pradesh</v>
      </c>
      <c r="B441" s="4" t="n">
        <v>61</v>
      </c>
      <c r="C441" s="4" t="s">
        <v>472</v>
      </c>
      <c r="D441" s="4" t="n">
        <v>1787476</v>
      </c>
      <c r="E441" s="4" t="n">
        <v>549704</v>
      </c>
      <c r="F441" s="4" t="n">
        <v>498809</v>
      </c>
      <c r="G441" s="4" t="n">
        <v>8</v>
      </c>
      <c r="H441" s="4" t="n">
        <f aca="false">E441+F441+G441</f>
        <v>1048521</v>
      </c>
      <c r="I441" s="4" t="n">
        <v>0</v>
      </c>
      <c r="J441" s="4" t="n">
        <v>18</v>
      </c>
      <c r="K441" s="4" t="n">
        <f aca="false">H441+J441</f>
        <v>1048539</v>
      </c>
      <c r="L441" s="4" t="n">
        <f aca="false">K441/D441*100</f>
        <v>58.6603120825119</v>
      </c>
      <c r="M441" s="4" t="n">
        <v>57.1414909485917</v>
      </c>
      <c r="N441" s="4" t="n">
        <v>60.4927865957777</v>
      </c>
      <c r="O441" s="4" t="n">
        <v>5.83941605839416</v>
      </c>
    </row>
    <row r="442" customFormat="false" ht="15" hidden="false" customHeight="false" outlineLevel="0" collapsed="false">
      <c r="A442" s="1" t="str">
        <f aca="false">A441</f>
        <v>Uttar Pradesh</v>
      </c>
      <c r="B442" s="4" t="n">
        <v>62</v>
      </c>
      <c r="C442" s="4" t="s">
        <v>473</v>
      </c>
      <c r="D442" s="4" t="n">
        <v>1904315</v>
      </c>
      <c r="E442" s="4" t="n">
        <v>521201</v>
      </c>
      <c r="F442" s="4" t="n">
        <v>490916</v>
      </c>
      <c r="G442" s="4" t="n">
        <v>0</v>
      </c>
      <c r="H442" s="4" t="n">
        <f aca="false">E442+F442+G442</f>
        <v>1012117</v>
      </c>
      <c r="I442" s="4" t="n">
        <v>0</v>
      </c>
      <c r="J442" s="4" t="n">
        <v>16</v>
      </c>
      <c r="K442" s="4" t="n">
        <f aca="false">H442+J442</f>
        <v>1012133</v>
      </c>
      <c r="L442" s="4" t="n">
        <f aca="false">K442/D442*100</f>
        <v>53.1494526903375</v>
      </c>
      <c r="M442" s="4" t="n">
        <v>49.8901117835011</v>
      </c>
      <c r="N442" s="4" t="n">
        <v>57.1802627946714</v>
      </c>
      <c r="O442" s="4" t="n">
        <v>0</v>
      </c>
    </row>
    <row r="443" customFormat="false" ht="15" hidden="false" customHeight="false" outlineLevel="0" collapsed="false">
      <c r="A443" s="1" t="str">
        <f aca="false">A442</f>
        <v>Uttar Pradesh</v>
      </c>
      <c r="B443" s="4" t="n">
        <v>63</v>
      </c>
      <c r="C443" s="4" t="s">
        <v>95</v>
      </c>
      <c r="D443" s="4" t="n">
        <v>1743131</v>
      </c>
      <c r="E443" s="4" t="n">
        <v>549757</v>
      </c>
      <c r="F443" s="4" t="n">
        <v>510481</v>
      </c>
      <c r="G443" s="4" t="n">
        <v>0</v>
      </c>
      <c r="H443" s="4" t="n">
        <f aca="false">E443+F443+G443</f>
        <v>1060238</v>
      </c>
      <c r="I443" s="4" t="n">
        <v>0</v>
      </c>
      <c r="J443" s="4" t="n">
        <v>3</v>
      </c>
      <c r="K443" s="4" t="n">
        <f aca="false">H443+J443</f>
        <v>1060241</v>
      </c>
      <c r="L443" s="4" t="n">
        <f aca="false">K443/D443*100</f>
        <v>60.8239426640912</v>
      </c>
      <c r="M443" s="4" t="n">
        <v>58.1189470112071</v>
      </c>
      <c r="N443" s="4" t="n">
        <v>64.0774078876514</v>
      </c>
      <c r="O443" s="4" t="n">
        <v>0</v>
      </c>
    </row>
    <row r="444" customFormat="false" ht="15" hidden="false" customHeight="false" outlineLevel="0" collapsed="false">
      <c r="A444" s="1" t="str">
        <f aca="false">A443</f>
        <v>Uttar Pradesh</v>
      </c>
      <c r="B444" s="4" t="n">
        <v>64</v>
      </c>
      <c r="C444" s="4" t="s">
        <v>474</v>
      </c>
      <c r="D444" s="4" t="n">
        <v>1903988</v>
      </c>
      <c r="E444" s="4" t="n">
        <v>582909</v>
      </c>
      <c r="F444" s="4" t="n">
        <v>457008</v>
      </c>
      <c r="G444" s="4" t="n">
        <v>17</v>
      </c>
      <c r="H444" s="4" t="n">
        <f aca="false">E444+F444+G444</f>
        <v>1039934</v>
      </c>
      <c r="I444" s="4" t="n">
        <v>0</v>
      </c>
      <c r="J444" s="4" t="n">
        <v>888</v>
      </c>
      <c r="K444" s="4" t="n">
        <f aca="false">H444+J444</f>
        <v>1040822</v>
      </c>
      <c r="L444" s="4" t="n">
        <f aca="false">K444/D444*100</f>
        <v>54.6653655380181</v>
      </c>
      <c r="M444" s="4" t="n">
        <v>55.2788127709251</v>
      </c>
      <c r="N444" s="4" t="n">
        <v>53.8793006895722</v>
      </c>
      <c r="O444" s="4" t="n">
        <v>10.7594936708861</v>
      </c>
    </row>
    <row r="445" customFormat="false" ht="15" hidden="false" customHeight="false" outlineLevel="0" collapsed="false">
      <c r="A445" s="1" t="str">
        <f aca="false">A444</f>
        <v>Uttar Pradesh</v>
      </c>
      <c r="B445" s="4" t="n">
        <v>65</v>
      </c>
      <c r="C445" s="4" t="s">
        <v>475</v>
      </c>
      <c r="D445" s="4" t="n">
        <v>1680992</v>
      </c>
      <c r="E445" s="4" t="n">
        <v>505771</v>
      </c>
      <c r="F445" s="4" t="n">
        <v>444293</v>
      </c>
      <c r="G445" s="4" t="n">
        <v>0</v>
      </c>
      <c r="H445" s="4" t="n">
        <f aca="false">E445+F445+G445</f>
        <v>950064</v>
      </c>
      <c r="I445" s="4" t="n">
        <v>0</v>
      </c>
      <c r="J445" s="4" t="n">
        <v>728</v>
      </c>
      <c r="K445" s="4" t="n">
        <f aca="false">H445+J445</f>
        <v>950792</v>
      </c>
      <c r="L445" s="4" t="n">
        <f aca="false">K445/D445*100</f>
        <v>56.5613637661571</v>
      </c>
      <c r="M445" s="4" t="n">
        <v>54.3506083899025</v>
      </c>
      <c r="N445" s="4" t="n">
        <v>59.2222475483629</v>
      </c>
      <c r="O445" s="4" t="n">
        <v>0</v>
      </c>
    </row>
    <row r="446" customFormat="false" ht="15" hidden="false" customHeight="false" outlineLevel="0" collapsed="false">
      <c r="A446" s="1" t="str">
        <f aca="false">A445</f>
        <v>Uttar Pradesh</v>
      </c>
      <c r="B446" s="4" t="n">
        <v>66</v>
      </c>
      <c r="C446" s="4" t="s">
        <v>476</v>
      </c>
      <c r="D446" s="4" t="n">
        <v>1806926</v>
      </c>
      <c r="E446" s="4" t="n">
        <v>508083</v>
      </c>
      <c r="F446" s="4" t="n">
        <v>462357</v>
      </c>
      <c r="G446" s="4" t="n">
        <v>3</v>
      </c>
      <c r="H446" s="4" t="n">
        <f aca="false">E446+F446+G446</f>
        <v>970443</v>
      </c>
      <c r="I446" s="4" t="n">
        <v>0</v>
      </c>
      <c r="J446" s="4" t="n">
        <v>1717</v>
      </c>
      <c r="K446" s="4" t="n">
        <f aca="false">H446+J446</f>
        <v>972160</v>
      </c>
      <c r="L446" s="4" t="n">
        <f aca="false">K446/D446*100</f>
        <v>53.8018712443122</v>
      </c>
      <c r="M446" s="4" t="n">
        <v>50.9604679573206</v>
      </c>
      <c r="N446" s="4" t="n">
        <v>57.1372608143311</v>
      </c>
      <c r="O446" s="4" t="n">
        <v>1.02389078498294</v>
      </c>
    </row>
    <row r="447" customFormat="false" ht="15" hidden="false" customHeight="false" outlineLevel="0" collapsed="false">
      <c r="A447" s="1" t="str">
        <f aca="false">A446</f>
        <v>Uttar Pradesh</v>
      </c>
      <c r="B447" s="4" t="n">
        <v>67</v>
      </c>
      <c r="C447" s="4" t="s">
        <v>477</v>
      </c>
      <c r="D447" s="4" t="n">
        <v>1760090</v>
      </c>
      <c r="E447" s="4" t="n">
        <v>459714</v>
      </c>
      <c r="F447" s="4" t="n">
        <v>417437</v>
      </c>
      <c r="G447" s="4" t="n">
        <v>1</v>
      </c>
      <c r="H447" s="4" t="n">
        <f aca="false">E447+F447+G447</f>
        <v>877152</v>
      </c>
      <c r="I447" s="4" t="n">
        <v>0</v>
      </c>
      <c r="J447" s="4" t="n">
        <v>759</v>
      </c>
      <c r="K447" s="4" t="n">
        <f aca="false">H447+J447</f>
        <v>877911</v>
      </c>
      <c r="L447" s="4" t="n">
        <f aca="false">K447/D447*100</f>
        <v>49.878756199967</v>
      </c>
      <c r="M447" s="4" t="n">
        <v>46.9348312817199</v>
      </c>
      <c r="N447" s="4" t="n">
        <v>53.559450339368</v>
      </c>
      <c r="O447" s="4" t="n">
        <v>1.0752688172043</v>
      </c>
    </row>
    <row r="448" customFormat="false" ht="15" hidden="false" customHeight="false" outlineLevel="0" collapsed="false">
      <c r="A448" s="1" t="str">
        <f aca="false">A447</f>
        <v>Uttar Pradesh</v>
      </c>
      <c r="B448" s="4" t="n">
        <v>68</v>
      </c>
      <c r="C448" s="4" t="s">
        <v>478</v>
      </c>
      <c r="D448" s="4" t="n">
        <v>1661470</v>
      </c>
      <c r="E448" s="4" t="n">
        <v>456872</v>
      </c>
      <c r="F448" s="4" t="n">
        <v>441988</v>
      </c>
      <c r="G448" s="4" t="n">
        <v>0</v>
      </c>
      <c r="H448" s="4" t="n">
        <f aca="false">E448+F448+G448</f>
        <v>898860</v>
      </c>
      <c r="I448" s="4" t="n">
        <v>0</v>
      </c>
      <c r="J448" s="4" t="n">
        <v>688</v>
      </c>
      <c r="K448" s="4" t="n">
        <f aca="false">H448+J448</f>
        <v>899548</v>
      </c>
      <c r="L448" s="4" t="n">
        <f aca="false">K448/D448*100</f>
        <v>54.1416938012724</v>
      </c>
      <c r="M448" s="4" t="n">
        <v>50.4518750828217</v>
      </c>
      <c r="N448" s="4" t="n">
        <v>58.6061954529905</v>
      </c>
      <c r="O448" s="4" t="n">
        <v>0</v>
      </c>
    </row>
    <row r="449" customFormat="false" ht="15" hidden="false" customHeight="false" outlineLevel="0" collapsed="false">
      <c r="A449" s="1" t="str">
        <f aca="false">A448</f>
        <v>Uttar Pradesh</v>
      </c>
      <c r="B449" s="4" t="n">
        <v>69</v>
      </c>
      <c r="C449" s="4" t="s">
        <v>479</v>
      </c>
      <c r="D449" s="4" t="n">
        <v>1703121</v>
      </c>
      <c r="E449" s="4" t="n">
        <v>504375</v>
      </c>
      <c r="F449" s="4" t="n">
        <v>455380</v>
      </c>
      <c r="G449" s="4" t="n">
        <v>0</v>
      </c>
      <c r="H449" s="4" t="n">
        <f aca="false">E449+F449+G449</f>
        <v>959755</v>
      </c>
      <c r="I449" s="4" t="n">
        <v>0</v>
      </c>
      <c r="J449" s="4" t="n">
        <v>845</v>
      </c>
      <c r="K449" s="4" t="n">
        <f aca="false">H449+J449</f>
        <v>960600</v>
      </c>
      <c r="L449" s="4" t="n">
        <f aca="false">K449/D449*100</f>
        <v>56.4023343027301</v>
      </c>
      <c r="M449" s="4" t="n">
        <v>53.6955871409515</v>
      </c>
      <c r="N449" s="4" t="n">
        <v>59.8637559912396</v>
      </c>
      <c r="O449" s="4" t="n">
        <v>0</v>
      </c>
    </row>
    <row r="450" customFormat="false" ht="15" hidden="false" customHeight="false" outlineLevel="0" collapsed="false">
      <c r="A450" s="1" t="str">
        <f aca="false">A449</f>
        <v>Uttar Pradesh</v>
      </c>
      <c r="B450" s="4" t="n">
        <v>70</v>
      </c>
      <c r="C450" s="4" t="s">
        <v>480</v>
      </c>
      <c r="D450" s="4" t="n">
        <v>1891112</v>
      </c>
      <c r="E450" s="4" t="n">
        <v>547380</v>
      </c>
      <c r="F450" s="4" t="n">
        <v>492131</v>
      </c>
      <c r="G450" s="4" t="n">
        <v>0</v>
      </c>
      <c r="H450" s="4" t="n">
        <f aca="false">E450+F450+G450</f>
        <v>1039511</v>
      </c>
      <c r="I450" s="4" t="n">
        <v>0</v>
      </c>
      <c r="J450" s="4" t="n">
        <v>319</v>
      </c>
      <c r="K450" s="4" t="n">
        <f aca="false">H450+J450</f>
        <v>1039830</v>
      </c>
      <c r="L450" s="4" t="n">
        <f aca="false">K450/D450*100</f>
        <v>54.9851092901954</v>
      </c>
      <c r="M450" s="4" t="n">
        <v>52.7253672801809</v>
      </c>
      <c r="N450" s="4" t="n">
        <v>57.9030781648198</v>
      </c>
      <c r="O450" s="4" t="n">
        <v>0</v>
      </c>
    </row>
    <row r="451" customFormat="false" ht="15" hidden="false" customHeight="false" outlineLevel="0" collapsed="false">
      <c r="A451" s="1" t="str">
        <f aca="false">A450</f>
        <v>Uttar Pradesh</v>
      </c>
      <c r="B451" s="4" t="n">
        <v>71</v>
      </c>
      <c r="C451" s="4" t="s">
        <v>481</v>
      </c>
      <c r="D451" s="4" t="n">
        <v>1661737</v>
      </c>
      <c r="E451" s="4" t="n">
        <v>450187</v>
      </c>
      <c r="F451" s="4" t="n">
        <v>404269</v>
      </c>
      <c r="G451" s="4" t="n">
        <v>1</v>
      </c>
      <c r="H451" s="4" t="n">
        <f aca="false">E451+F451+G451</f>
        <v>854457</v>
      </c>
      <c r="I451" s="4" t="n">
        <v>0</v>
      </c>
      <c r="J451" s="4" t="n">
        <v>1319</v>
      </c>
      <c r="K451" s="4" t="n">
        <f aca="false">H451+J451</f>
        <v>855776</v>
      </c>
      <c r="L451" s="4" t="n">
        <f aca="false">K451/D451*100</f>
        <v>51.4988833973126</v>
      </c>
      <c r="M451" s="4" t="n">
        <v>49.8696174262901</v>
      </c>
      <c r="N451" s="4" t="n">
        <v>53.4721184280664</v>
      </c>
      <c r="O451" s="4" t="n">
        <v>0.8</v>
      </c>
    </row>
    <row r="452" customFormat="false" ht="15" hidden="false" customHeight="false" outlineLevel="0" collapsed="false">
      <c r="A452" s="1" t="str">
        <f aca="false">A451</f>
        <v>Uttar Pradesh</v>
      </c>
      <c r="B452" s="4" t="n">
        <v>72</v>
      </c>
      <c r="C452" s="4" t="s">
        <v>482</v>
      </c>
      <c r="D452" s="4" t="n">
        <v>1768271</v>
      </c>
      <c r="E452" s="4" t="n">
        <v>517773</v>
      </c>
      <c r="F452" s="4" t="n">
        <v>423406</v>
      </c>
      <c r="G452" s="4" t="n">
        <v>3</v>
      </c>
      <c r="H452" s="4" t="n">
        <f aca="false">E452+F452+G452</f>
        <v>941182</v>
      </c>
      <c r="I452" s="4" t="n">
        <v>0</v>
      </c>
      <c r="J452" s="4" t="n">
        <v>1093</v>
      </c>
      <c r="K452" s="4" t="n">
        <f aca="false">H452+J452</f>
        <v>942275</v>
      </c>
      <c r="L452" s="4" t="n">
        <f aca="false">K452/D452*100</f>
        <v>53.2879292823329</v>
      </c>
      <c r="M452" s="4" t="n">
        <v>53.4002951711363</v>
      </c>
      <c r="N452" s="4" t="n">
        <v>53.398661899447</v>
      </c>
      <c r="O452" s="4" t="n">
        <v>5.26315789473684</v>
      </c>
    </row>
    <row r="453" customFormat="false" ht="15" hidden="false" customHeight="false" outlineLevel="0" collapsed="false">
      <c r="A453" s="1" t="str">
        <f aca="false">A452</f>
        <v>Uttar Pradesh</v>
      </c>
      <c r="B453" s="4" t="n">
        <v>73</v>
      </c>
      <c r="C453" s="4" t="s">
        <v>483</v>
      </c>
      <c r="D453" s="4" t="n">
        <v>1848842</v>
      </c>
      <c r="E453" s="4" t="n">
        <v>527140</v>
      </c>
      <c r="F453" s="4" t="n">
        <v>479177</v>
      </c>
      <c r="G453" s="4" t="n">
        <v>0</v>
      </c>
      <c r="H453" s="4" t="n">
        <f aca="false">E453+F453+G453</f>
        <v>1006317</v>
      </c>
      <c r="I453" s="4" t="n">
        <v>0</v>
      </c>
      <c r="J453" s="4" t="n">
        <v>918</v>
      </c>
      <c r="K453" s="4" t="n">
        <f aca="false">H453+J453</f>
        <v>1007235</v>
      </c>
      <c r="L453" s="4" t="n">
        <f aca="false">K453/D453*100</f>
        <v>54.4792361921679</v>
      </c>
      <c r="M453" s="4" t="n">
        <v>52.5722127422342</v>
      </c>
      <c r="N453" s="4" t="n">
        <v>56.6606006643041</v>
      </c>
      <c r="O453" s="4" t="n">
        <v>0</v>
      </c>
    </row>
    <row r="454" customFormat="false" ht="15" hidden="false" customHeight="false" outlineLevel="0" collapsed="false">
      <c r="A454" s="1" t="str">
        <f aca="false">A453</f>
        <v>Uttar Pradesh</v>
      </c>
      <c r="B454" s="4" t="n">
        <v>74</v>
      </c>
      <c r="C454" s="4" t="s">
        <v>484</v>
      </c>
      <c r="D454" s="4" t="n">
        <v>1891969</v>
      </c>
      <c r="E454" s="4" t="n">
        <v>512798</v>
      </c>
      <c r="F454" s="4" t="n">
        <v>483995</v>
      </c>
      <c r="G454" s="4" t="n">
        <v>0</v>
      </c>
      <c r="H454" s="4" t="n">
        <f aca="false">E454+F454+G454</f>
        <v>996793</v>
      </c>
      <c r="I454" s="4" t="n">
        <v>0</v>
      </c>
      <c r="J454" s="4" t="n">
        <v>1120</v>
      </c>
      <c r="K454" s="4" t="n">
        <f aca="false">H454+J454</f>
        <v>997913</v>
      </c>
      <c r="L454" s="4" t="n">
        <f aca="false">K454/D454*100</f>
        <v>52.744680277531</v>
      </c>
      <c r="M454" s="4" t="n">
        <v>49.9750026556633</v>
      </c>
      <c r="N454" s="4" t="n">
        <v>55.9692905819132</v>
      </c>
      <c r="O454" s="4" t="n">
        <v>0</v>
      </c>
    </row>
    <row r="455" customFormat="false" ht="15" hidden="false" customHeight="false" outlineLevel="0" collapsed="false">
      <c r="A455" s="1" t="str">
        <f aca="false">A454</f>
        <v>Uttar Pradesh</v>
      </c>
      <c r="B455" s="4" t="n">
        <v>75</v>
      </c>
      <c r="C455" s="4" t="s">
        <v>485</v>
      </c>
      <c r="D455" s="4" t="n">
        <v>1801519</v>
      </c>
      <c r="E455" s="4" t="n">
        <v>528986</v>
      </c>
      <c r="F455" s="4" t="n">
        <v>457272</v>
      </c>
      <c r="G455" s="4" t="n">
        <v>1</v>
      </c>
      <c r="H455" s="4" t="n">
        <f aca="false">E455+F455+G455</f>
        <v>986259</v>
      </c>
      <c r="I455" s="4" t="n">
        <v>0</v>
      </c>
      <c r="J455" s="4" t="n">
        <v>456</v>
      </c>
      <c r="K455" s="4" t="n">
        <f aca="false">H455+J455</f>
        <v>986715</v>
      </c>
      <c r="L455" s="4" t="n">
        <f aca="false">K455/D455*100</f>
        <v>54.7712791261152</v>
      </c>
      <c r="M455" s="4" t="n">
        <v>54.0041183058388</v>
      </c>
      <c r="N455" s="4" t="n">
        <v>56.0127687044248</v>
      </c>
      <c r="O455" s="4" t="n">
        <v>1.61290322580645</v>
      </c>
    </row>
    <row r="456" customFormat="false" ht="15" hidden="false" customHeight="false" outlineLevel="0" collapsed="false">
      <c r="A456" s="1" t="str">
        <f aca="false">A455</f>
        <v>Uttar Pradesh</v>
      </c>
      <c r="B456" s="4" t="n">
        <v>76</v>
      </c>
      <c r="C456" s="4" t="s">
        <v>486</v>
      </c>
      <c r="D456" s="4" t="n">
        <v>1593133</v>
      </c>
      <c r="E456" s="4" t="n">
        <v>545894</v>
      </c>
      <c r="F456" s="4" t="n">
        <v>433978</v>
      </c>
      <c r="G456" s="4" t="n">
        <v>1</v>
      </c>
      <c r="H456" s="4" t="n">
        <f aca="false">E456+F456+G456</f>
        <v>979873</v>
      </c>
      <c r="I456" s="4" t="n">
        <v>0</v>
      </c>
      <c r="J456" s="4" t="n">
        <v>781</v>
      </c>
      <c r="K456" s="4" t="n">
        <f aca="false">H456+J456</f>
        <v>980654</v>
      </c>
      <c r="L456" s="4" t="n">
        <f aca="false">K456/D456*100</f>
        <v>61.5550616301338</v>
      </c>
      <c r="M456" s="4" t="n">
        <v>61.6044183233122</v>
      </c>
      <c r="N456" s="4" t="n">
        <v>61.617994502374</v>
      </c>
      <c r="O456" s="4" t="n">
        <v>0.847457627118644</v>
      </c>
    </row>
    <row r="457" customFormat="false" ht="15" hidden="false" customHeight="false" outlineLevel="0" collapsed="false">
      <c r="A457" s="1" t="str">
        <f aca="false">A456</f>
        <v>Uttar Pradesh</v>
      </c>
      <c r="B457" s="4" t="n">
        <v>77</v>
      </c>
      <c r="C457" s="4" t="s">
        <v>487</v>
      </c>
      <c r="D457" s="4" t="n">
        <v>1766487</v>
      </c>
      <c r="E457" s="4" t="n">
        <v>593071</v>
      </c>
      <c r="F457" s="4" t="n">
        <v>436735</v>
      </c>
      <c r="G457" s="4" t="n">
        <v>10</v>
      </c>
      <c r="H457" s="4" t="n">
        <f aca="false">E457+F457+G457</f>
        <v>1029816</v>
      </c>
      <c r="I457" s="4" t="n">
        <v>0</v>
      </c>
      <c r="J457" s="4" t="n">
        <v>996</v>
      </c>
      <c r="K457" s="4" t="n">
        <f aca="false">H457+J457</f>
        <v>1030812</v>
      </c>
      <c r="L457" s="4" t="n">
        <f aca="false">K457/D457*100</f>
        <v>58.3537835262869</v>
      </c>
      <c r="M457" s="4" t="n">
        <v>60.2100704261814</v>
      </c>
      <c r="N457" s="4" t="n">
        <v>55.9296421276405</v>
      </c>
      <c r="O457" s="4" t="n">
        <v>10.8695652173913</v>
      </c>
    </row>
    <row r="458" customFormat="false" ht="15" hidden="false" customHeight="false" outlineLevel="0" collapsed="false">
      <c r="A458" s="1" t="str">
        <f aca="false">A457</f>
        <v>Uttar Pradesh</v>
      </c>
      <c r="B458" s="4" t="n">
        <v>78</v>
      </c>
      <c r="C458" s="4" t="s">
        <v>488</v>
      </c>
      <c r="D458" s="4" t="n">
        <v>1834598</v>
      </c>
      <c r="E458" s="4" t="n">
        <v>527390</v>
      </c>
      <c r="F458" s="4" t="n">
        <v>454368</v>
      </c>
      <c r="G458" s="4" t="n">
        <v>2</v>
      </c>
      <c r="H458" s="4" t="n">
        <f aca="false">E458+F458+G458</f>
        <v>981760</v>
      </c>
      <c r="I458" s="4" t="n">
        <v>0</v>
      </c>
      <c r="J458" s="4" t="n">
        <v>394</v>
      </c>
      <c r="K458" s="4" t="n">
        <f aca="false">H458+J458</f>
        <v>982154</v>
      </c>
      <c r="L458" s="4" t="n">
        <f aca="false">K458/D458*100</f>
        <v>53.5351068735494</v>
      </c>
      <c r="M458" s="4" t="n">
        <v>51.9309032150703</v>
      </c>
      <c r="N458" s="4" t="n">
        <v>55.5294428210553</v>
      </c>
      <c r="O458" s="4" t="n">
        <v>1.28205128205128</v>
      </c>
    </row>
    <row r="459" customFormat="false" ht="15" hidden="false" customHeight="false" outlineLevel="0" collapsed="false">
      <c r="A459" s="1" t="str">
        <f aca="false">A458</f>
        <v>Uttar Pradesh</v>
      </c>
      <c r="B459" s="4" t="n">
        <v>79</v>
      </c>
      <c r="C459" s="4" t="s">
        <v>489</v>
      </c>
      <c r="D459" s="4" t="n">
        <v>1720661</v>
      </c>
      <c r="E459" s="4" t="n">
        <v>557612</v>
      </c>
      <c r="F459" s="4" t="n">
        <v>449962</v>
      </c>
      <c r="G459" s="4" t="n">
        <v>7</v>
      </c>
      <c r="H459" s="4" t="n">
        <f aca="false">E459+F459+G459</f>
        <v>1007581</v>
      </c>
      <c r="I459" s="4" t="n">
        <v>0</v>
      </c>
      <c r="J459" s="4" t="n">
        <v>65</v>
      </c>
      <c r="K459" s="4" t="n">
        <f aca="false">H459+J459</f>
        <v>1007646</v>
      </c>
      <c r="L459" s="4" t="n">
        <f aca="false">K459/D459*100</f>
        <v>58.5615644220448</v>
      </c>
      <c r="M459" s="4" t="n">
        <v>59.4488096634221</v>
      </c>
      <c r="N459" s="4" t="n">
        <v>57.5518201980461</v>
      </c>
      <c r="O459" s="4" t="n">
        <v>5.42635658914729</v>
      </c>
    </row>
    <row r="460" customFormat="false" ht="15" hidden="false" customHeight="false" outlineLevel="0" collapsed="false">
      <c r="A460" s="1" t="str">
        <f aca="false">A459</f>
        <v>Uttar Pradesh</v>
      </c>
      <c r="B460" s="4" t="n">
        <v>80</v>
      </c>
      <c r="C460" s="4" t="s">
        <v>490</v>
      </c>
      <c r="D460" s="4" t="n">
        <v>1639074</v>
      </c>
      <c r="E460" s="4" t="n">
        <v>498085</v>
      </c>
      <c r="F460" s="4" t="n">
        <v>387542</v>
      </c>
      <c r="G460" s="4" t="n">
        <v>1</v>
      </c>
      <c r="H460" s="4" t="n">
        <f aca="false">E460+F460+G460</f>
        <v>885628</v>
      </c>
      <c r="I460" s="4" t="n">
        <v>0</v>
      </c>
      <c r="J460" s="4" t="n">
        <v>248</v>
      </c>
      <c r="K460" s="4" t="n">
        <f aca="false">H460+J460</f>
        <v>885876</v>
      </c>
      <c r="L460" s="4" t="n">
        <f aca="false">K460/D460*100</f>
        <v>54.047346245502</v>
      </c>
      <c r="M460" s="4" t="n">
        <v>55.2858333694073</v>
      </c>
      <c r="N460" s="4" t="n">
        <v>52.5281961129281</v>
      </c>
      <c r="O460" s="4" t="n">
        <v>2.38095238095238</v>
      </c>
    </row>
    <row r="461" customFormat="false" ht="15" hidden="false" customHeight="false" outlineLevel="0" collapsed="false">
      <c r="A461" s="4" t="s">
        <v>491</v>
      </c>
      <c r="B461" s="4" t="n">
        <v>1</v>
      </c>
      <c r="C461" s="4" t="s">
        <v>492</v>
      </c>
      <c r="D461" s="4" t="n">
        <v>1613403</v>
      </c>
      <c r="E461" s="4" t="n">
        <v>687125</v>
      </c>
      <c r="F461" s="4" t="n">
        <v>642008</v>
      </c>
      <c r="G461" s="4" t="n">
        <v>0</v>
      </c>
      <c r="H461" s="4" t="n">
        <f aca="false">E461+F461+G461</f>
        <v>1329133</v>
      </c>
      <c r="I461" s="4" t="n">
        <v>0</v>
      </c>
      <c r="J461" s="4" t="n">
        <v>3835</v>
      </c>
      <c r="K461" s="4" t="n">
        <f aca="false">H461+J461</f>
        <v>1332968</v>
      </c>
      <c r="L461" s="4" t="n">
        <f aca="false">K461/D461*100</f>
        <v>82.6184158576623</v>
      </c>
      <c r="M461" s="4" t="n">
        <v>81.0749742188366</v>
      </c>
      <c r="N461" s="4" t="n">
        <v>84.0003558849236</v>
      </c>
      <c r="O461" s="4" t="n">
        <v>0</v>
      </c>
    </row>
    <row r="462" customFormat="false" ht="15" hidden="false" customHeight="false" outlineLevel="0" collapsed="false">
      <c r="A462" s="1" t="str">
        <f aca="false">A461</f>
        <v>West Bengal</v>
      </c>
      <c r="B462" s="4" t="n">
        <v>2</v>
      </c>
      <c r="C462" s="4" t="s">
        <v>493</v>
      </c>
      <c r="D462" s="4" t="n">
        <v>1470911</v>
      </c>
      <c r="E462" s="4" t="n">
        <v>619392</v>
      </c>
      <c r="F462" s="4" t="n">
        <v>603041</v>
      </c>
      <c r="G462" s="4" t="n">
        <v>0</v>
      </c>
      <c r="H462" s="4" t="n">
        <f aca="false">E462+F462+G462</f>
        <v>1222433</v>
      </c>
      <c r="I462" s="4" t="n">
        <v>0</v>
      </c>
      <c r="J462" s="4" t="n">
        <v>2804</v>
      </c>
      <c r="K462" s="4" t="n">
        <f aca="false">H462+J462</f>
        <v>1225237</v>
      </c>
      <c r="L462" s="4" t="n">
        <f aca="false">K462/D462*100</f>
        <v>83.2978337914395</v>
      </c>
      <c r="M462" s="4" t="n">
        <v>82.1000058321713</v>
      </c>
      <c r="N462" s="4" t="n">
        <v>84.3888451968799</v>
      </c>
      <c r="O462" s="4" t="n">
        <v>0</v>
      </c>
    </row>
    <row r="463" customFormat="false" ht="15" hidden="false" customHeight="false" outlineLevel="0" collapsed="false">
      <c r="A463" s="1" t="str">
        <f aca="false">A462</f>
        <v>West Bengal</v>
      </c>
      <c r="B463" s="4" t="n">
        <v>3</v>
      </c>
      <c r="C463" s="4" t="s">
        <v>494</v>
      </c>
      <c r="D463" s="4" t="n">
        <v>1531468</v>
      </c>
      <c r="E463" s="4" t="n">
        <v>675989</v>
      </c>
      <c r="F463" s="4" t="n">
        <v>625242</v>
      </c>
      <c r="G463" s="4" t="n">
        <v>0</v>
      </c>
      <c r="H463" s="4" t="n">
        <f aca="false">E463+F463+G463</f>
        <v>1301231</v>
      </c>
      <c r="I463" s="4" t="n">
        <v>0</v>
      </c>
      <c r="J463" s="4" t="n">
        <v>3049</v>
      </c>
      <c r="K463" s="4" t="n">
        <f aca="false">H463+J463</f>
        <v>1304280</v>
      </c>
      <c r="L463" s="4" t="n">
        <f aca="false">K463/D463*100</f>
        <v>85.1653446235899</v>
      </c>
      <c r="M463" s="4" t="n">
        <v>85.0934280621545</v>
      </c>
      <c r="N463" s="4" t="n">
        <v>85.0399805231811</v>
      </c>
      <c r="O463" s="4" t="n">
        <v>0</v>
      </c>
    </row>
    <row r="464" customFormat="false" ht="15" hidden="false" customHeight="false" outlineLevel="0" collapsed="false">
      <c r="A464" s="1" t="str">
        <f aca="false">A463</f>
        <v>West Bengal</v>
      </c>
      <c r="B464" s="4" t="n">
        <v>4</v>
      </c>
      <c r="C464" s="4" t="s">
        <v>495</v>
      </c>
      <c r="D464" s="4" t="n">
        <v>1437154</v>
      </c>
      <c r="E464" s="4" t="n">
        <v>587016</v>
      </c>
      <c r="F464" s="4" t="n">
        <v>553877</v>
      </c>
      <c r="G464" s="4" t="n">
        <v>14</v>
      </c>
      <c r="H464" s="4" t="n">
        <f aca="false">E464+F464+G464</f>
        <v>1140907</v>
      </c>
      <c r="I464" s="4" t="n">
        <v>0</v>
      </c>
      <c r="J464" s="4" t="n">
        <v>1789</v>
      </c>
      <c r="K464" s="4" t="n">
        <f aca="false">H464+J464</f>
        <v>1142696</v>
      </c>
      <c r="L464" s="4" t="n">
        <f aca="false">K464/D464*100</f>
        <v>79.5110336122642</v>
      </c>
      <c r="M464" s="4" t="n">
        <v>80.7644205964297</v>
      </c>
      <c r="N464" s="4" t="n">
        <v>79.5823155837811</v>
      </c>
      <c r="O464" s="4" t="n">
        <v>46.6666666666667</v>
      </c>
    </row>
    <row r="465" customFormat="false" ht="15" hidden="false" customHeight="false" outlineLevel="0" collapsed="false">
      <c r="A465" s="1" t="str">
        <f aca="false">A464</f>
        <v>West Bengal</v>
      </c>
      <c r="B465" s="4" t="n">
        <v>5</v>
      </c>
      <c r="C465" s="4" t="s">
        <v>496</v>
      </c>
      <c r="D465" s="4" t="n">
        <v>1387526</v>
      </c>
      <c r="E465" s="4" t="n">
        <v>563566</v>
      </c>
      <c r="F465" s="4" t="n">
        <v>543020</v>
      </c>
      <c r="G465" s="4" t="n">
        <v>0</v>
      </c>
      <c r="H465" s="4" t="n">
        <f aca="false">E465+F465+G465</f>
        <v>1106586</v>
      </c>
      <c r="I465" s="4" t="n">
        <v>0</v>
      </c>
      <c r="J465" s="4" t="n">
        <v>1917</v>
      </c>
      <c r="K465" s="4" t="n">
        <f aca="false">H465+J465</f>
        <v>1108503</v>
      </c>
      <c r="L465" s="4" t="n">
        <f aca="false">K465/D465*100</f>
        <v>79.8906110588198</v>
      </c>
      <c r="M465" s="4" t="n">
        <v>77.8920336907516</v>
      </c>
      <c r="N465" s="4" t="n">
        <v>81.8714861012063</v>
      </c>
      <c r="O465" s="4" t="n">
        <v>0</v>
      </c>
    </row>
    <row r="466" customFormat="false" ht="15" hidden="false" customHeight="false" outlineLevel="0" collapsed="false">
      <c r="A466" s="1" t="str">
        <f aca="false">A465</f>
        <v>West Bengal</v>
      </c>
      <c r="B466" s="4" t="n">
        <v>6</v>
      </c>
      <c r="C466" s="4" t="s">
        <v>497</v>
      </c>
      <c r="D466" s="4" t="n">
        <v>1254497</v>
      </c>
      <c r="E466" s="4" t="n">
        <v>548053</v>
      </c>
      <c r="F466" s="4" t="n">
        <v>513027</v>
      </c>
      <c r="G466" s="4" t="n">
        <v>0</v>
      </c>
      <c r="H466" s="4" t="n">
        <f aca="false">E466+F466+G466</f>
        <v>1061080</v>
      </c>
      <c r="I466" s="4" t="n">
        <v>0</v>
      </c>
      <c r="J466" s="4" t="n">
        <v>2324</v>
      </c>
      <c r="K466" s="4" t="n">
        <f aca="false">H466+J466</f>
        <v>1063404</v>
      </c>
      <c r="L466" s="4" t="n">
        <f aca="false">K466/D466*100</f>
        <v>84.7673609422741</v>
      </c>
      <c r="M466" s="4" t="n">
        <v>83.9062545451205</v>
      </c>
      <c r="N466" s="4" t="n">
        <v>85.4532280631621</v>
      </c>
      <c r="O466" s="4" t="n">
        <v>0</v>
      </c>
    </row>
    <row r="467" customFormat="false" ht="15" hidden="false" customHeight="false" outlineLevel="0" collapsed="false">
      <c r="A467" s="1" t="str">
        <f aca="false">A466</f>
        <v>West Bengal</v>
      </c>
      <c r="B467" s="4" t="n">
        <v>7</v>
      </c>
      <c r="C467" s="4" t="s">
        <v>498</v>
      </c>
      <c r="D467" s="4" t="n">
        <v>1425428</v>
      </c>
      <c r="E467" s="4" t="n">
        <v>578561</v>
      </c>
      <c r="F467" s="4" t="n">
        <v>582591</v>
      </c>
      <c r="G467" s="4" t="n">
        <v>0</v>
      </c>
      <c r="H467" s="4" t="n">
        <f aca="false">E467+F467+G467</f>
        <v>1161152</v>
      </c>
      <c r="I467" s="4" t="n">
        <v>0</v>
      </c>
      <c r="J467" s="4" t="n">
        <v>2004</v>
      </c>
      <c r="K467" s="4" t="n">
        <f aca="false">H467+J467</f>
        <v>1163156</v>
      </c>
      <c r="L467" s="4" t="n">
        <f aca="false">K467/D467*100</f>
        <v>81.6004736822905</v>
      </c>
      <c r="M467" s="4" t="n">
        <v>78.2032583733545</v>
      </c>
      <c r="N467" s="4" t="n">
        <v>85.1430032882718</v>
      </c>
      <c r="O467" s="4" t="n">
        <v>0</v>
      </c>
    </row>
    <row r="468" customFormat="false" ht="15" hidden="false" customHeight="false" outlineLevel="0" collapsed="false">
      <c r="A468" s="1" t="str">
        <f aca="false">A467</f>
        <v>West Bengal</v>
      </c>
      <c r="B468" s="4" t="n">
        <v>8</v>
      </c>
      <c r="C468" s="4" t="s">
        <v>499</v>
      </c>
      <c r="D468" s="4" t="n">
        <v>1347143</v>
      </c>
      <c r="E468" s="4" t="n">
        <v>545088</v>
      </c>
      <c r="F468" s="4" t="n">
        <v>544292</v>
      </c>
      <c r="G468" s="4" t="n">
        <v>0</v>
      </c>
      <c r="H468" s="4" t="n">
        <f aca="false">E468+F468+G468</f>
        <v>1089380</v>
      </c>
      <c r="I468" s="4" t="n">
        <v>0</v>
      </c>
      <c r="J468" s="4" t="n">
        <v>3085</v>
      </c>
      <c r="K468" s="4" t="n">
        <f aca="false">H468+J468</f>
        <v>1092465</v>
      </c>
      <c r="L468" s="4" t="n">
        <f aca="false">K468/D468*100</f>
        <v>81.0949542847344</v>
      </c>
      <c r="M468" s="4" t="n">
        <v>78.8319141058867</v>
      </c>
      <c r="N468" s="4" t="n">
        <v>83.1885701534648</v>
      </c>
      <c r="O468" s="4" t="n">
        <v>0</v>
      </c>
    </row>
    <row r="469" customFormat="false" ht="15" hidden="false" customHeight="false" outlineLevel="0" collapsed="false">
      <c r="A469" s="1" t="str">
        <f aca="false">A468</f>
        <v>West Bengal</v>
      </c>
      <c r="B469" s="4" t="n">
        <v>9</v>
      </c>
      <c r="C469" s="4" t="s">
        <v>500</v>
      </c>
      <c r="D469" s="4" t="n">
        <v>1391656</v>
      </c>
      <c r="E469" s="4" t="n">
        <v>559290</v>
      </c>
      <c r="F469" s="4" t="n">
        <v>559068</v>
      </c>
      <c r="G469" s="4" t="n">
        <v>0</v>
      </c>
      <c r="H469" s="4" t="n">
        <f aca="false">E469+F469+G469</f>
        <v>1118358</v>
      </c>
      <c r="I469" s="4" t="n">
        <v>0</v>
      </c>
      <c r="J469" s="4" t="n">
        <v>962</v>
      </c>
      <c r="K469" s="4" t="n">
        <f aca="false">H469+J469</f>
        <v>1119320</v>
      </c>
      <c r="L469" s="4" t="n">
        <f aca="false">K469/D469*100</f>
        <v>80.4307961162816</v>
      </c>
      <c r="M469" s="4" t="n">
        <v>78.3376380352631</v>
      </c>
      <c r="N469" s="4" t="n">
        <v>82.657736577144</v>
      </c>
      <c r="O469" s="4" t="n">
        <v>0</v>
      </c>
    </row>
    <row r="470" customFormat="false" ht="15" hidden="false" customHeight="false" outlineLevel="0" collapsed="false">
      <c r="A470" s="1" t="str">
        <f aca="false">A469</f>
        <v>West Bengal</v>
      </c>
      <c r="B470" s="4" t="n">
        <v>10</v>
      </c>
      <c r="C470" s="4" t="s">
        <v>501</v>
      </c>
      <c r="D470" s="4" t="n">
        <v>1453783</v>
      </c>
      <c r="E470" s="4" t="n">
        <v>584203</v>
      </c>
      <c r="F470" s="4" t="n">
        <v>569867</v>
      </c>
      <c r="G470" s="4" t="n">
        <v>0</v>
      </c>
      <c r="H470" s="4" t="n">
        <f aca="false">E470+F470+G470</f>
        <v>1154070</v>
      </c>
      <c r="I470" s="4" t="n">
        <v>0</v>
      </c>
      <c r="J470" s="4" t="n">
        <v>632</v>
      </c>
      <c r="K470" s="4" t="n">
        <f aca="false">H470+J470</f>
        <v>1154702</v>
      </c>
      <c r="L470" s="4" t="n">
        <f aca="false">K470/D470*100</f>
        <v>79.4273973488478</v>
      </c>
      <c r="M470" s="4" t="n">
        <v>77.9982509896595</v>
      </c>
      <c r="N470" s="4" t="n">
        <v>81.5174073131028</v>
      </c>
      <c r="O470" s="4" t="n">
        <v>0</v>
      </c>
    </row>
    <row r="471" customFormat="false" ht="15" hidden="false" customHeight="false" outlineLevel="0" collapsed="false">
      <c r="A471" s="1" t="str">
        <f aca="false">A470</f>
        <v>West Bengal</v>
      </c>
      <c r="B471" s="4" t="n">
        <v>11</v>
      </c>
      <c r="C471" s="4" t="s">
        <v>502</v>
      </c>
      <c r="D471" s="4" t="n">
        <v>1512098</v>
      </c>
      <c r="E471" s="4" t="n">
        <v>653122</v>
      </c>
      <c r="F471" s="4" t="n">
        <v>635049</v>
      </c>
      <c r="G471" s="4" t="n">
        <v>0</v>
      </c>
      <c r="H471" s="4" t="n">
        <f aca="false">E471+F471+G471</f>
        <v>1288171</v>
      </c>
      <c r="I471" s="4" t="n">
        <v>0</v>
      </c>
      <c r="J471" s="4" t="n">
        <v>407</v>
      </c>
      <c r="K471" s="4" t="n">
        <f aca="false">H471+J471</f>
        <v>1288578</v>
      </c>
      <c r="L471" s="4" t="n">
        <f aca="false">K471/D471*100</f>
        <v>85.2178893166977</v>
      </c>
      <c r="M471" s="4" t="n">
        <v>83.585493395036</v>
      </c>
      <c r="N471" s="4" t="n">
        <v>87.0676772136106</v>
      </c>
      <c r="O471" s="4" t="n">
        <v>0</v>
      </c>
    </row>
    <row r="472" customFormat="false" ht="15" hidden="false" customHeight="false" outlineLevel="0" collapsed="false">
      <c r="A472" s="1" t="str">
        <f aca="false">A471</f>
        <v>West Bengal</v>
      </c>
      <c r="B472" s="4" t="n">
        <v>12</v>
      </c>
      <c r="C472" s="4" t="s">
        <v>503</v>
      </c>
      <c r="D472" s="4" t="n">
        <v>1476783</v>
      </c>
      <c r="E472" s="4" t="n">
        <v>638727</v>
      </c>
      <c r="F472" s="4" t="n">
        <v>607902</v>
      </c>
      <c r="G472" s="4" t="n">
        <v>0</v>
      </c>
      <c r="H472" s="4" t="n">
        <f aca="false">E472+F472+G472</f>
        <v>1246629</v>
      </c>
      <c r="I472" s="4" t="n">
        <v>0</v>
      </c>
      <c r="J472" s="4" t="n">
        <v>2066</v>
      </c>
      <c r="K472" s="4" t="n">
        <f aca="false">H472+J472</f>
        <v>1248695</v>
      </c>
      <c r="L472" s="4" t="n">
        <f aca="false">K472/D472*100</f>
        <v>84.5550768122331</v>
      </c>
      <c r="M472" s="4" t="n">
        <v>83.3085952784662</v>
      </c>
      <c r="N472" s="4" t="n">
        <v>86.1789493829698</v>
      </c>
      <c r="O472" s="4" t="n">
        <v>0</v>
      </c>
    </row>
    <row r="473" customFormat="false" ht="15" hidden="false" customHeight="false" outlineLevel="0" collapsed="false">
      <c r="A473" s="1" t="str">
        <f aca="false">A472</f>
        <v>West Bengal</v>
      </c>
      <c r="B473" s="4" t="n">
        <v>13</v>
      </c>
      <c r="C473" s="4" t="s">
        <v>504</v>
      </c>
      <c r="D473" s="4" t="n">
        <v>1602849</v>
      </c>
      <c r="E473" s="4" t="n">
        <v>691141</v>
      </c>
      <c r="F473" s="4" t="n">
        <v>658049</v>
      </c>
      <c r="G473" s="4" t="n">
        <v>0</v>
      </c>
      <c r="H473" s="4" t="n">
        <f aca="false">E473+F473+G473</f>
        <v>1349190</v>
      </c>
      <c r="I473" s="4" t="n">
        <v>0</v>
      </c>
      <c r="J473" s="4" t="n">
        <v>4433</v>
      </c>
      <c r="K473" s="4" t="n">
        <f aca="false">H473+J473</f>
        <v>1353623</v>
      </c>
      <c r="L473" s="4" t="n">
        <f aca="false">K473/D473*100</f>
        <v>84.4510618280325</v>
      </c>
      <c r="M473" s="4" t="n">
        <v>83.4209617886826</v>
      </c>
      <c r="N473" s="4" t="n">
        <v>85.45125420894</v>
      </c>
      <c r="O473" s="4" t="n">
        <v>0</v>
      </c>
    </row>
    <row r="474" customFormat="false" ht="15" hidden="false" customHeight="false" outlineLevel="0" collapsed="false">
      <c r="A474" s="1" t="str">
        <f aca="false">A473</f>
        <v>West Bengal</v>
      </c>
      <c r="B474" s="4" t="n">
        <v>14</v>
      </c>
      <c r="C474" s="4" t="s">
        <v>505</v>
      </c>
      <c r="D474" s="4" t="n">
        <v>1540713</v>
      </c>
      <c r="E474" s="4" t="n">
        <v>653011</v>
      </c>
      <c r="F474" s="4" t="n">
        <v>627517</v>
      </c>
      <c r="G474" s="4" t="n">
        <v>0</v>
      </c>
      <c r="H474" s="4" t="n">
        <f aca="false">E474+F474+G474</f>
        <v>1280528</v>
      </c>
      <c r="I474" s="4" t="n">
        <v>0</v>
      </c>
      <c r="J474" s="4" t="n">
        <v>3769</v>
      </c>
      <c r="K474" s="4" t="n">
        <f aca="false">H474+J474</f>
        <v>1284297</v>
      </c>
      <c r="L474" s="4" t="n">
        <f aca="false">K474/D474*100</f>
        <v>83.3573157362857</v>
      </c>
      <c r="M474" s="4" t="n">
        <v>82.3615548287905</v>
      </c>
      <c r="N474" s="4" t="n">
        <v>84.5312649441166</v>
      </c>
      <c r="O474" s="4" t="n">
        <v>0</v>
      </c>
    </row>
    <row r="475" customFormat="false" ht="15" hidden="false" customHeight="false" outlineLevel="0" collapsed="false">
      <c r="A475" s="1" t="str">
        <f aca="false">A474</f>
        <v>West Bengal</v>
      </c>
      <c r="B475" s="4" t="n">
        <v>15</v>
      </c>
      <c r="C475" s="4" t="s">
        <v>506</v>
      </c>
      <c r="D475" s="4" t="n">
        <v>1287222</v>
      </c>
      <c r="E475" s="4" t="n">
        <v>567286</v>
      </c>
      <c r="F475" s="4" t="n">
        <v>481436</v>
      </c>
      <c r="G475" s="4" t="n">
        <v>0</v>
      </c>
      <c r="H475" s="4" t="n">
        <f aca="false">E475+F475+G475</f>
        <v>1048722</v>
      </c>
      <c r="I475" s="4" t="n">
        <v>0</v>
      </c>
      <c r="J475" s="4" t="n">
        <v>3878</v>
      </c>
      <c r="K475" s="4" t="n">
        <f aca="false">H475+J475</f>
        <v>1052600</v>
      </c>
      <c r="L475" s="4" t="n">
        <f aca="false">K475/D475*100</f>
        <v>81.7729964217517</v>
      </c>
      <c r="M475" s="4" t="n">
        <v>83.3759801291897</v>
      </c>
      <c r="N475" s="4" t="n">
        <v>79.7225980271209</v>
      </c>
      <c r="O475" s="4" t="n">
        <v>0</v>
      </c>
    </row>
    <row r="476" customFormat="false" ht="15" hidden="false" customHeight="false" outlineLevel="0" collapsed="false">
      <c r="A476" s="1" t="str">
        <f aca="false">A475</f>
        <v>West Bengal</v>
      </c>
      <c r="B476" s="4" t="n">
        <v>16</v>
      </c>
      <c r="C476" s="4" t="s">
        <v>507</v>
      </c>
      <c r="D476" s="4" t="n">
        <v>1405981</v>
      </c>
      <c r="E476" s="4" t="n">
        <v>590114</v>
      </c>
      <c r="F476" s="4" t="n">
        <v>539290</v>
      </c>
      <c r="G476" s="4" t="n">
        <v>0</v>
      </c>
      <c r="H476" s="4" t="n">
        <f aca="false">E476+F476+G476</f>
        <v>1129404</v>
      </c>
      <c r="I476" s="4" t="n">
        <v>0</v>
      </c>
      <c r="J476" s="4" t="n">
        <v>4397</v>
      </c>
      <c r="K476" s="4" t="n">
        <f aca="false">H476+J476</f>
        <v>1133801</v>
      </c>
      <c r="L476" s="4" t="n">
        <f aca="false">K476/D476*100</f>
        <v>80.6412746687189</v>
      </c>
      <c r="M476" s="4" t="n">
        <v>82.5662221078023</v>
      </c>
      <c r="N476" s="4" t="n">
        <v>78.168506769753</v>
      </c>
      <c r="O476" s="4" t="n">
        <v>0</v>
      </c>
    </row>
    <row r="477" customFormat="false" ht="15" hidden="false" customHeight="false" outlineLevel="0" collapsed="false">
      <c r="A477" s="1" t="str">
        <f aca="false">A476</f>
        <v>West Bengal</v>
      </c>
      <c r="B477" s="4" t="n">
        <v>17</v>
      </c>
      <c r="C477" s="4" t="s">
        <v>508</v>
      </c>
      <c r="D477" s="4" t="n">
        <v>1512792</v>
      </c>
      <c r="E477" s="4" t="n">
        <v>669359</v>
      </c>
      <c r="F477" s="4" t="n">
        <v>596363</v>
      </c>
      <c r="G477" s="4" t="n">
        <v>24</v>
      </c>
      <c r="H477" s="4" t="n">
        <f aca="false">E477+F477+G477</f>
        <v>1265746</v>
      </c>
      <c r="I477" s="4" t="n">
        <v>0</v>
      </c>
      <c r="J477" s="4" t="n">
        <v>4418</v>
      </c>
      <c r="K477" s="4" t="n">
        <f aca="false">H477+J477</f>
        <v>1270164</v>
      </c>
      <c r="L477" s="4" t="n">
        <f aca="false">K477/D477*100</f>
        <v>83.961575682579</v>
      </c>
      <c r="M477" s="4" t="n">
        <v>86.6413483431125</v>
      </c>
      <c r="N477" s="4" t="n">
        <v>80.8589422874847</v>
      </c>
      <c r="O477" s="4" t="n">
        <v>100</v>
      </c>
    </row>
    <row r="478" customFormat="false" ht="15" hidden="false" customHeight="false" outlineLevel="0" collapsed="false">
      <c r="A478" s="1" t="str">
        <f aca="false">A477</f>
        <v>West Bengal</v>
      </c>
      <c r="B478" s="4" t="n">
        <v>18</v>
      </c>
      <c r="C478" s="4" t="s">
        <v>509</v>
      </c>
      <c r="D478" s="4" t="n">
        <v>1490596</v>
      </c>
      <c r="E478" s="4" t="n">
        <v>677047</v>
      </c>
      <c r="F478" s="4" t="n">
        <v>595849</v>
      </c>
      <c r="G478" s="4" t="n">
        <v>1</v>
      </c>
      <c r="H478" s="4" t="n">
        <f aca="false">E478+F478+G478</f>
        <v>1272897</v>
      </c>
      <c r="I478" s="4" t="n">
        <v>0</v>
      </c>
      <c r="J478" s="4" t="n">
        <v>1188</v>
      </c>
      <c r="K478" s="4" t="n">
        <f aca="false">H478+J478</f>
        <v>1274085</v>
      </c>
      <c r="L478" s="4" t="n">
        <f aca="false">K478/D478*100</f>
        <v>85.4748704545028</v>
      </c>
      <c r="M478" s="4" t="n">
        <v>87.1839479353519</v>
      </c>
      <c r="N478" s="4" t="n">
        <v>83.6584578232057</v>
      </c>
      <c r="O478" s="4" t="n">
        <v>6.25</v>
      </c>
    </row>
    <row r="479" customFormat="false" ht="15" hidden="false" customHeight="false" outlineLevel="0" collapsed="false">
      <c r="A479" s="1" t="str">
        <f aca="false">A478</f>
        <v>West Bengal</v>
      </c>
      <c r="B479" s="4" t="n">
        <v>19</v>
      </c>
      <c r="C479" s="4" t="s">
        <v>510</v>
      </c>
      <c r="D479" s="4" t="n">
        <v>1458724</v>
      </c>
      <c r="E479" s="4" t="n">
        <v>633029</v>
      </c>
      <c r="F479" s="4" t="n">
        <v>555516</v>
      </c>
      <c r="G479" s="4" t="n">
        <v>0</v>
      </c>
      <c r="H479" s="4" t="n">
        <f aca="false">E479+F479+G479</f>
        <v>1188545</v>
      </c>
      <c r="I479" s="4" t="n">
        <v>0</v>
      </c>
      <c r="J479" s="4" t="n">
        <v>608</v>
      </c>
      <c r="K479" s="4" t="n">
        <f aca="false">H479+J479</f>
        <v>1189153</v>
      </c>
      <c r="L479" s="4" t="n">
        <f aca="false">K479/D479*100</f>
        <v>81.5200819346223</v>
      </c>
      <c r="M479" s="4" t="n">
        <v>83.5474496098658</v>
      </c>
      <c r="N479" s="4" t="n">
        <v>79.2808272940827</v>
      </c>
      <c r="O479" s="4" t="n">
        <v>0</v>
      </c>
    </row>
    <row r="480" customFormat="false" ht="15" hidden="false" customHeight="false" outlineLevel="0" collapsed="false">
      <c r="A480" s="1" t="str">
        <f aca="false">A479</f>
        <v>West Bengal</v>
      </c>
      <c r="B480" s="4" t="n">
        <v>20</v>
      </c>
      <c r="C480" s="4" t="s">
        <v>511</v>
      </c>
      <c r="D480" s="4" t="n">
        <v>1488785</v>
      </c>
      <c r="E480" s="4" t="n">
        <v>662025</v>
      </c>
      <c r="F480" s="4" t="n">
        <v>607691</v>
      </c>
      <c r="G480" s="4" t="n">
        <v>0</v>
      </c>
      <c r="H480" s="4" t="n">
        <f aca="false">E480+F480+G480</f>
        <v>1269716</v>
      </c>
      <c r="I480" s="4" t="n">
        <v>0</v>
      </c>
      <c r="J480" s="4" t="n">
        <v>1492</v>
      </c>
      <c r="K480" s="4" t="n">
        <f aca="false">H480+J480</f>
        <v>1271208</v>
      </c>
      <c r="L480" s="4" t="n">
        <f aca="false">K480/D480*100</f>
        <v>85.3855996668424</v>
      </c>
      <c r="M480" s="4" t="n">
        <v>85.7790896098495</v>
      </c>
      <c r="N480" s="4" t="n">
        <v>84.832050433729</v>
      </c>
      <c r="O480" s="4" t="n">
        <v>0</v>
      </c>
    </row>
    <row r="481" customFormat="false" ht="15" hidden="false" customHeight="false" outlineLevel="0" collapsed="false">
      <c r="A481" s="1" t="str">
        <f aca="false">A480</f>
        <v>West Bengal</v>
      </c>
      <c r="B481" s="4" t="n">
        <v>21</v>
      </c>
      <c r="C481" s="4" t="s">
        <v>512</v>
      </c>
      <c r="D481" s="4" t="n">
        <v>1555914</v>
      </c>
      <c r="E481" s="4" t="n">
        <v>682840</v>
      </c>
      <c r="F481" s="4" t="n">
        <v>577412</v>
      </c>
      <c r="G481" s="4" t="n">
        <v>0</v>
      </c>
      <c r="H481" s="4" t="n">
        <f aca="false">E481+F481+G481</f>
        <v>1260252</v>
      </c>
      <c r="I481" s="4" t="n">
        <v>0</v>
      </c>
      <c r="J481" s="4" t="n">
        <v>1076</v>
      </c>
      <c r="K481" s="4" t="n">
        <f aca="false">H481+J481</f>
        <v>1261328</v>
      </c>
      <c r="L481" s="4" t="n">
        <f aca="false">K481/D481*100</f>
        <v>81.066691346694</v>
      </c>
      <c r="M481" s="4" t="n">
        <v>83.7002461339322</v>
      </c>
      <c r="N481" s="4" t="n">
        <v>78.0910159329951</v>
      </c>
      <c r="O481" s="4" t="n">
        <v>0</v>
      </c>
    </row>
    <row r="482" customFormat="false" ht="15" hidden="false" customHeight="false" outlineLevel="0" collapsed="false">
      <c r="A482" s="1" t="str">
        <f aca="false">A481</f>
        <v>West Bengal</v>
      </c>
      <c r="B482" s="4" t="n">
        <v>22</v>
      </c>
      <c r="C482" s="4" t="s">
        <v>513</v>
      </c>
      <c r="D482" s="4" t="n">
        <v>1595744</v>
      </c>
      <c r="E482" s="4" t="n">
        <v>666829</v>
      </c>
      <c r="F482" s="4" t="n">
        <v>605165</v>
      </c>
      <c r="G482" s="4" t="n">
        <v>0</v>
      </c>
      <c r="H482" s="4" t="n">
        <f aca="false">E482+F482+G482</f>
        <v>1271994</v>
      </c>
      <c r="I482" s="4" t="n">
        <v>0</v>
      </c>
      <c r="J482" s="4" t="n">
        <v>2729</v>
      </c>
      <c r="K482" s="4" t="n">
        <f aca="false">H482+J482</f>
        <v>1274723</v>
      </c>
      <c r="L482" s="4" t="n">
        <f aca="false">K482/D482*100</f>
        <v>79.8826754166082</v>
      </c>
      <c r="M482" s="4" t="n">
        <v>82.2189013872295</v>
      </c>
      <c r="N482" s="4" t="n">
        <v>77.1838016878875</v>
      </c>
      <c r="O482" s="4" t="n">
        <v>0</v>
      </c>
    </row>
    <row r="483" customFormat="false" ht="15" hidden="false" customHeight="false" outlineLevel="0" collapsed="false">
      <c r="A483" s="1" t="str">
        <f aca="false">A482</f>
        <v>West Bengal</v>
      </c>
      <c r="B483" s="4" t="n">
        <v>23</v>
      </c>
      <c r="C483" s="4" t="s">
        <v>514</v>
      </c>
      <c r="D483" s="4" t="n">
        <v>1685296</v>
      </c>
      <c r="E483" s="4" t="n">
        <v>626618</v>
      </c>
      <c r="F483" s="4" t="n">
        <v>540007</v>
      </c>
      <c r="G483" s="4" t="n">
        <v>0</v>
      </c>
      <c r="H483" s="4" t="n">
        <f aca="false">E483+F483+G483</f>
        <v>1166625</v>
      </c>
      <c r="I483" s="4" t="n">
        <v>0</v>
      </c>
      <c r="J483" s="4" t="n">
        <v>1842</v>
      </c>
      <c r="K483" s="4" t="n">
        <f aca="false">H483+J483</f>
        <v>1168467</v>
      </c>
      <c r="L483" s="4" t="n">
        <f aca="false">K483/D483*100</f>
        <v>69.3330429788002</v>
      </c>
      <c r="M483" s="4" t="n">
        <v>70.42503309859</v>
      </c>
      <c r="N483" s="4" t="n">
        <v>67.945151358445</v>
      </c>
      <c r="O483" s="4" t="n">
        <v>0</v>
      </c>
    </row>
    <row r="484" customFormat="false" ht="15" hidden="false" customHeight="false" outlineLevel="0" collapsed="false">
      <c r="A484" s="1" t="str">
        <f aca="false">A483</f>
        <v>West Bengal</v>
      </c>
      <c r="B484" s="4" t="n">
        <v>24</v>
      </c>
      <c r="C484" s="4" t="s">
        <v>515</v>
      </c>
      <c r="D484" s="4" t="n">
        <v>1433985</v>
      </c>
      <c r="E484" s="4" t="n">
        <v>534806</v>
      </c>
      <c r="F484" s="4" t="n">
        <v>419974</v>
      </c>
      <c r="G484" s="4" t="n">
        <v>3</v>
      </c>
      <c r="H484" s="4" t="n">
        <f aca="false">E484+F484+G484</f>
        <v>954783</v>
      </c>
      <c r="I484" s="4" t="n">
        <v>0</v>
      </c>
      <c r="J484" s="4" t="n">
        <v>1365</v>
      </c>
      <c r="K484" s="4" t="n">
        <f aca="false">H484+J484</f>
        <v>956148</v>
      </c>
      <c r="L484" s="4" t="n">
        <f aca="false">K484/D484*100</f>
        <v>66.6776849130221</v>
      </c>
      <c r="M484" s="4" t="n">
        <v>67.0762940387051</v>
      </c>
      <c r="N484" s="4" t="n">
        <v>65.9850927305065</v>
      </c>
      <c r="O484" s="4" t="n">
        <v>50</v>
      </c>
    </row>
    <row r="485" customFormat="false" ht="15" hidden="false" customHeight="false" outlineLevel="0" collapsed="false">
      <c r="A485" s="1" t="str">
        <f aca="false">A484</f>
        <v>West Bengal</v>
      </c>
      <c r="B485" s="4" t="n">
        <v>25</v>
      </c>
      <c r="C485" s="4" t="s">
        <v>516</v>
      </c>
      <c r="D485" s="4" t="n">
        <v>1505099</v>
      </c>
      <c r="E485" s="4" t="n">
        <v>621808</v>
      </c>
      <c r="F485" s="4" t="n">
        <v>503224</v>
      </c>
      <c r="G485" s="4" t="n">
        <v>3</v>
      </c>
      <c r="H485" s="4" t="n">
        <f aca="false">E485+F485+G485</f>
        <v>1125035</v>
      </c>
      <c r="I485" s="4" t="n">
        <v>0</v>
      </c>
      <c r="J485" s="4" t="n">
        <v>693</v>
      </c>
      <c r="K485" s="4" t="n">
        <f aca="false">H485+J485</f>
        <v>1125728</v>
      </c>
      <c r="L485" s="4" t="n">
        <f aca="false">K485/D485*100</f>
        <v>74.7942826352287</v>
      </c>
      <c r="M485" s="4" t="n">
        <v>77.5144823562703</v>
      </c>
      <c r="N485" s="4" t="n">
        <v>71.6587089231628</v>
      </c>
      <c r="O485" s="4" t="n">
        <v>60</v>
      </c>
    </row>
    <row r="486" customFormat="false" ht="15" hidden="false" customHeight="false" outlineLevel="0" collapsed="false">
      <c r="A486" s="1" t="str">
        <f aca="false">A485</f>
        <v>West Bengal</v>
      </c>
      <c r="B486" s="4" t="n">
        <v>26</v>
      </c>
      <c r="C486" s="4" t="s">
        <v>517</v>
      </c>
      <c r="D486" s="4" t="n">
        <v>1448632</v>
      </c>
      <c r="E486" s="4" t="n">
        <v>629091</v>
      </c>
      <c r="F486" s="4" t="n">
        <v>557334</v>
      </c>
      <c r="G486" s="4" t="n">
        <v>0</v>
      </c>
      <c r="H486" s="4" t="n">
        <f aca="false">E486+F486+G486</f>
        <v>1186425</v>
      </c>
      <c r="I486" s="4" t="n">
        <v>0</v>
      </c>
      <c r="J486" s="4" t="n">
        <v>749</v>
      </c>
      <c r="K486" s="4" t="n">
        <f aca="false">H486+J486</f>
        <v>1187174</v>
      </c>
      <c r="L486" s="4" t="n">
        <f aca="false">K486/D486*100</f>
        <v>81.9513858592106</v>
      </c>
      <c r="M486" s="4" t="n">
        <v>82.617940077169</v>
      </c>
      <c r="N486" s="4" t="n">
        <v>81.1852054706721</v>
      </c>
      <c r="O486" s="4" t="n">
        <v>0</v>
      </c>
    </row>
    <row r="487" customFormat="false" ht="15" hidden="false" customHeight="false" outlineLevel="0" collapsed="false">
      <c r="A487" s="1" t="str">
        <f aca="false">A486</f>
        <v>West Bengal</v>
      </c>
      <c r="B487" s="4" t="n">
        <v>27</v>
      </c>
      <c r="C487" s="4" t="s">
        <v>518</v>
      </c>
      <c r="D487" s="4" t="n">
        <v>1624038</v>
      </c>
      <c r="E487" s="4" t="n">
        <v>680999</v>
      </c>
      <c r="F487" s="4" t="n">
        <v>608386</v>
      </c>
      <c r="G487" s="4" t="n">
        <v>2</v>
      </c>
      <c r="H487" s="4" t="n">
        <f aca="false">E487+F487+G487</f>
        <v>1289387</v>
      </c>
      <c r="I487" s="4" t="n">
        <v>0</v>
      </c>
      <c r="J487" s="4" t="n">
        <v>1767</v>
      </c>
      <c r="K487" s="4" t="n">
        <f aca="false">H487+J487</f>
        <v>1291154</v>
      </c>
      <c r="L487" s="4" t="n">
        <f aca="false">K487/D487*100</f>
        <v>79.5026963654791</v>
      </c>
      <c r="M487" s="4" t="n">
        <v>80.4031023128028</v>
      </c>
      <c r="N487" s="4" t="n">
        <v>78.4261302697797</v>
      </c>
      <c r="O487" s="4" t="n">
        <v>14.2857142857143</v>
      </c>
    </row>
    <row r="488" customFormat="false" ht="15" hidden="false" customHeight="false" outlineLevel="0" collapsed="false">
      <c r="A488" s="1" t="str">
        <f aca="false">A487</f>
        <v>West Bengal</v>
      </c>
      <c r="B488" s="4" t="n">
        <v>28</v>
      </c>
      <c r="C488" s="4" t="s">
        <v>519</v>
      </c>
      <c r="D488" s="4" t="n">
        <v>1630042</v>
      </c>
      <c r="E488" s="4" t="n">
        <v>696614</v>
      </c>
      <c r="F488" s="4" t="n">
        <v>650941</v>
      </c>
      <c r="G488" s="4" t="n">
        <v>1</v>
      </c>
      <c r="H488" s="4" t="n">
        <f aca="false">E488+F488+G488</f>
        <v>1347556</v>
      </c>
      <c r="I488" s="4" t="n">
        <v>0</v>
      </c>
      <c r="J488" s="4" t="n">
        <v>3383</v>
      </c>
      <c r="K488" s="4" t="n">
        <f aca="false">H488+J488</f>
        <v>1350939</v>
      </c>
      <c r="L488" s="4" t="n">
        <f aca="false">K488/D488*100</f>
        <v>82.8775577561805</v>
      </c>
      <c r="M488" s="4" t="n">
        <v>83.3985607273224</v>
      </c>
      <c r="N488" s="4" t="n">
        <v>82.0990246861729</v>
      </c>
      <c r="O488" s="4" t="n">
        <v>7.69230769230769</v>
      </c>
    </row>
    <row r="489" customFormat="false" ht="15" hidden="false" customHeight="false" outlineLevel="0" collapsed="false">
      <c r="A489" s="1" t="str">
        <f aca="false">A488</f>
        <v>West Bengal</v>
      </c>
      <c r="B489" s="4" t="n">
        <v>29</v>
      </c>
      <c r="C489" s="4" t="s">
        <v>520</v>
      </c>
      <c r="D489" s="4" t="n">
        <v>1600293</v>
      </c>
      <c r="E489" s="4" t="n">
        <v>707257</v>
      </c>
      <c r="F489" s="4" t="n">
        <v>654127</v>
      </c>
      <c r="G489" s="4" t="n">
        <v>0</v>
      </c>
      <c r="H489" s="4" t="n">
        <f aca="false">E489+F489+G489</f>
        <v>1361384</v>
      </c>
      <c r="I489" s="4" t="n">
        <v>0</v>
      </c>
      <c r="J489" s="4" t="n">
        <v>1464</v>
      </c>
      <c r="K489" s="4" t="n">
        <f aca="false">H489+J489</f>
        <v>1362848</v>
      </c>
      <c r="L489" s="4" t="n">
        <f aca="false">K489/D489*100</f>
        <v>85.1624046346513</v>
      </c>
      <c r="M489" s="4" t="n">
        <v>84.9737602183765</v>
      </c>
      <c r="N489" s="4" t="n">
        <v>85.3832428107301</v>
      </c>
      <c r="O489" s="4" t="n">
        <v>0</v>
      </c>
    </row>
    <row r="490" customFormat="false" ht="15" hidden="false" customHeight="false" outlineLevel="0" collapsed="false">
      <c r="A490" s="1" t="str">
        <f aca="false">A489</f>
        <v>West Bengal</v>
      </c>
      <c r="B490" s="4" t="n">
        <v>30</v>
      </c>
      <c r="C490" s="4" t="s">
        <v>521</v>
      </c>
      <c r="D490" s="4" t="n">
        <v>1527273</v>
      </c>
      <c r="E490" s="4" t="n">
        <v>684160</v>
      </c>
      <c r="F490" s="4" t="n">
        <v>650897</v>
      </c>
      <c r="G490" s="4" t="n">
        <v>1</v>
      </c>
      <c r="H490" s="4" t="n">
        <f aca="false">E490+F490+G490</f>
        <v>1335058</v>
      </c>
      <c r="I490" s="4" t="n">
        <v>0</v>
      </c>
      <c r="J490" s="4" t="n">
        <v>3278</v>
      </c>
      <c r="K490" s="4" t="n">
        <f aca="false">H490+J490</f>
        <v>1338336</v>
      </c>
      <c r="L490" s="4" t="n">
        <f aca="false">K490/D490*100</f>
        <v>87.6291272090844</v>
      </c>
      <c r="M490" s="4" t="n">
        <v>86.0961988105395</v>
      </c>
      <c r="N490" s="4" t="n">
        <v>89.1992857446304</v>
      </c>
      <c r="O490" s="4" t="n">
        <v>8.33333333333333</v>
      </c>
    </row>
    <row r="491" customFormat="false" ht="15" hidden="false" customHeight="false" outlineLevel="0" collapsed="false">
      <c r="A491" s="1" t="str">
        <f aca="false">A490</f>
        <v>West Bengal</v>
      </c>
      <c r="B491" s="4" t="n">
        <v>31</v>
      </c>
      <c r="C491" s="4" t="s">
        <v>522</v>
      </c>
      <c r="D491" s="4" t="n">
        <v>1490409</v>
      </c>
      <c r="E491" s="4" t="n">
        <v>663897</v>
      </c>
      <c r="F491" s="4" t="n">
        <v>626338</v>
      </c>
      <c r="G491" s="4" t="n">
        <v>0</v>
      </c>
      <c r="H491" s="4" t="n">
        <f aca="false">E491+F491+G491</f>
        <v>1290235</v>
      </c>
      <c r="I491" s="4" t="n">
        <v>0</v>
      </c>
      <c r="J491" s="4" t="n">
        <v>2138</v>
      </c>
      <c r="K491" s="4" t="n">
        <f aca="false">H491+J491</f>
        <v>1292373</v>
      </c>
      <c r="L491" s="4" t="n">
        <f aca="false">K491/D491*100</f>
        <v>86.7126406241508</v>
      </c>
      <c r="M491" s="4" t="n">
        <v>85.7163330441249</v>
      </c>
      <c r="N491" s="4" t="n">
        <v>87.9832781510445</v>
      </c>
      <c r="O491" s="4" t="n">
        <v>0</v>
      </c>
    </row>
    <row r="492" customFormat="false" ht="15" hidden="false" customHeight="false" outlineLevel="0" collapsed="false">
      <c r="A492" s="1" t="str">
        <f aca="false">A491</f>
        <v>West Bengal</v>
      </c>
      <c r="B492" s="4" t="n">
        <v>32</v>
      </c>
      <c r="C492" s="4" t="s">
        <v>523</v>
      </c>
      <c r="D492" s="4" t="n">
        <v>1610489</v>
      </c>
      <c r="E492" s="4" t="n">
        <v>690945</v>
      </c>
      <c r="F492" s="4" t="n">
        <v>675066</v>
      </c>
      <c r="G492" s="4" t="n">
        <v>8</v>
      </c>
      <c r="H492" s="4" t="n">
        <f aca="false">E492+F492+G492</f>
        <v>1366019</v>
      </c>
      <c r="I492" s="4" t="n">
        <v>0</v>
      </c>
      <c r="J492" s="4" t="n">
        <v>1618</v>
      </c>
      <c r="K492" s="4" t="n">
        <f aca="false">H492+J492</f>
        <v>1367637</v>
      </c>
      <c r="L492" s="4" t="n">
        <f aca="false">K492/D492*100</f>
        <v>84.9206048597662</v>
      </c>
      <c r="M492" s="4" t="n">
        <v>82.8619261714623</v>
      </c>
      <c r="N492" s="4" t="n">
        <v>87.22594349862</v>
      </c>
      <c r="O492" s="4" t="n">
        <v>57.1428571428571</v>
      </c>
    </row>
    <row r="493" customFormat="false" ht="15" hidden="false" customHeight="false" outlineLevel="0" collapsed="false">
      <c r="A493" s="1" t="str">
        <f aca="false">A492</f>
        <v>West Bengal</v>
      </c>
      <c r="B493" s="4" t="n">
        <v>33</v>
      </c>
      <c r="C493" s="4" t="s">
        <v>524</v>
      </c>
      <c r="D493" s="4" t="n">
        <v>1475112</v>
      </c>
      <c r="E493" s="4" t="n">
        <v>645909</v>
      </c>
      <c r="F493" s="4" t="n">
        <v>610427</v>
      </c>
      <c r="G493" s="4" t="n">
        <v>0</v>
      </c>
      <c r="H493" s="4" t="n">
        <f aca="false">E493+F493+G493</f>
        <v>1256336</v>
      </c>
      <c r="I493" s="4" t="n">
        <v>0</v>
      </c>
      <c r="J493" s="4" t="n">
        <v>1309</v>
      </c>
      <c r="K493" s="4" t="n">
        <f aca="false">H493+J493</f>
        <v>1257645</v>
      </c>
      <c r="L493" s="4" t="n">
        <f aca="false">K493/D493*100</f>
        <v>85.2575939996421</v>
      </c>
      <c r="M493" s="4" t="n">
        <v>85.7957481287649</v>
      </c>
      <c r="N493" s="4" t="n">
        <v>84.6826137802927</v>
      </c>
      <c r="O493" s="4" t="n">
        <v>0</v>
      </c>
    </row>
    <row r="494" customFormat="false" ht="15" hidden="false" customHeight="false" outlineLevel="0" collapsed="false">
      <c r="A494" s="1" t="str">
        <f aca="false">A493</f>
        <v>West Bengal</v>
      </c>
      <c r="B494" s="4" t="n">
        <v>34</v>
      </c>
      <c r="C494" s="4" t="s">
        <v>525</v>
      </c>
      <c r="D494" s="4" t="n">
        <v>1499673</v>
      </c>
      <c r="E494" s="4" t="n">
        <v>647452</v>
      </c>
      <c r="F494" s="4" t="n">
        <v>613326</v>
      </c>
      <c r="G494" s="4" t="n">
        <v>0</v>
      </c>
      <c r="H494" s="4" t="n">
        <f aca="false">E494+F494+G494</f>
        <v>1260778</v>
      </c>
      <c r="I494" s="4" t="n">
        <v>0</v>
      </c>
      <c r="J494" s="4" t="n">
        <v>2317</v>
      </c>
      <c r="K494" s="4" t="n">
        <f aca="false">H494+J494</f>
        <v>1263095</v>
      </c>
      <c r="L494" s="4" t="n">
        <f aca="false">K494/D494*100</f>
        <v>84.2246943166944</v>
      </c>
      <c r="M494" s="4" t="n">
        <v>84.1622795044782</v>
      </c>
      <c r="N494" s="4" t="n">
        <v>84.1446298849629</v>
      </c>
      <c r="O494" s="4" t="n">
        <v>0</v>
      </c>
    </row>
    <row r="495" customFormat="false" ht="15" hidden="false" customHeight="false" outlineLevel="0" collapsed="false">
      <c r="A495" s="1" t="str">
        <f aca="false">A494</f>
        <v>West Bengal</v>
      </c>
      <c r="B495" s="4" t="n">
        <v>35</v>
      </c>
      <c r="C495" s="4" t="s">
        <v>526</v>
      </c>
      <c r="D495" s="4" t="n">
        <v>1471933</v>
      </c>
      <c r="E495" s="4" t="n">
        <v>627261</v>
      </c>
      <c r="F495" s="4" t="n">
        <v>574047</v>
      </c>
      <c r="G495" s="4" t="n">
        <v>1</v>
      </c>
      <c r="H495" s="4" t="n">
        <f aca="false">E495+F495+G495</f>
        <v>1201309</v>
      </c>
      <c r="I495" s="4" t="n">
        <v>0</v>
      </c>
      <c r="J495" s="4" t="n">
        <v>5344</v>
      </c>
      <c r="K495" s="4" t="n">
        <f aca="false">H495+J495</f>
        <v>1206653</v>
      </c>
      <c r="L495" s="4" t="n">
        <f aca="false">K495/D495*100</f>
        <v>81.9774405492641</v>
      </c>
      <c r="M495" s="4" t="n">
        <v>82.076978939724</v>
      </c>
      <c r="N495" s="4" t="n">
        <v>81.1931588341956</v>
      </c>
      <c r="O495" s="4" t="n">
        <v>16.6666666666667</v>
      </c>
    </row>
    <row r="496" customFormat="false" ht="15" hidden="false" customHeight="false" outlineLevel="0" collapsed="false">
      <c r="A496" s="1" t="str">
        <f aca="false">A495</f>
        <v>West Bengal</v>
      </c>
      <c r="B496" s="4" t="n">
        <v>36</v>
      </c>
      <c r="C496" s="4" t="s">
        <v>527</v>
      </c>
      <c r="D496" s="4" t="n">
        <v>1503812</v>
      </c>
      <c r="E496" s="4" t="n">
        <v>644501</v>
      </c>
      <c r="F496" s="4" t="n">
        <v>590353</v>
      </c>
      <c r="G496" s="4" t="n">
        <v>0</v>
      </c>
      <c r="H496" s="4" t="n">
        <f aca="false">E496+F496+G496</f>
        <v>1234854</v>
      </c>
      <c r="I496" s="4" t="n">
        <v>0</v>
      </c>
      <c r="J496" s="4" t="n">
        <v>1759</v>
      </c>
      <c r="K496" s="4" t="n">
        <f aca="false">H496+J496</f>
        <v>1236613</v>
      </c>
      <c r="L496" s="4" t="n">
        <f aca="false">K496/D496*100</f>
        <v>82.2318880285568</v>
      </c>
      <c r="M496" s="4" t="n">
        <v>83.2669266089419</v>
      </c>
      <c r="N496" s="4" t="n">
        <v>81.1843350165572</v>
      </c>
      <c r="O496" s="4" t="n">
        <v>0</v>
      </c>
    </row>
    <row r="497" customFormat="false" ht="15" hidden="false" customHeight="false" outlineLevel="0" collapsed="false">
      <c r="A497" s="1" t="str">
        <f aca="false">A496</f>
        <v>West Bengal</v>
      </c>
      <c r="B497" s="4" t="n">
        <v>37</v>
      </c>
      <c r="C497" s="4" t="s">
        <v>528</v>
      </c>
      <c r="D497" s="4" t="n">
        <v>1466921</v>
      </c>
      <c r="E497" s="4" t="n">
        <v>667023</v>
      </c>
      <c r="F497" s="4" t="n">
        <v>603708</v>
      </c>
      <c r="G497" s="4" t="n">
        <v>0</v>
      </c>
      <c r="H497" s="4" t="n">
        <f aca="false">E497+F497+G497</f>
        <v>1270731</v>
      </c>
      <c r="I497" s="4" t="n">
        <v>0</v>
      </c>
      <c r="J497" s="4" t="n">
        <v>1368</v>
      </c>
      <c r="K497" s="4" t="n">
        <f aca="false">H497+J497</f>
        <v>1272099</v>
      </c>
      <c r="L497" s="4" t="n">
        <f aca="false">K497/D497*100</f>
        <v>86.7189848669424</v>
      </c>
      <c r="M497" s="4" t="n">
        <v>88.0963135539495</v>
      </c>
      <c r="N497" s="4" t="n">
        <v>85.4199416203398</v>
      </c>
      <c r="O497" s="4" t="n">
        <v>0</v>
      </c>
    </row>
    <row r="498" customFormat="false" ht="15" hidden="false" customHeight="false" outlineLevel="0" collapsed="false">
      <c r="A498" s="1" t="str">
        <f aca="false">A497</f>
        <v>West Bengal</v>
      </c>
      <c r="B498" s="4" t="n">
        <v>38</v>
      </c>
      <c r="C498" s="4" t="s">
        <v>529</v>
      </c>
      <c r="D498" s="4" t="n">
        <v>1532244</v>
      </c>
      <c r="E498" s="4" t="n">
        <v>682635</v>
      </c>
      <c r="F498" s="4" t="n">
        <v>637516</v>
      </c>
      <c r="G498" s="4" t="n">
        <v>1</v>
      </c>
      <c r="H498" s="4" t="n">
        <f aca="false">E498+F498+G498</f>
        <v>1320152</v>
      </c>
      <c r="I498" s="4" t="n">
        <v>0</v>
      </c>
      <c r="J498" s="4" t="n">
        <v>988</v>
      </c>
      <c r="K498" s="4" t="n">
        <f aca="false">H498+J498</f>
        <v>1321140</v>
      </c>
      <c r="L498" s="4" t="n">
        <f aca="false">K498/D498*100</f>
        <v>86.2225598533915</v>
      </c>
      <c r="M498" s="4" t="n">
        <v>85.9674685352025</v>
      </c>
      <c r="N498" s="4" t="n">
        <v>86.627613880181</v>
      </c>
      <c r="O498" s="4" t="n">
        <v>16.6666666666667</v>
      </c>
    </row>
    <row r="499" customFormat="false" ht="15" hidden="false" customHeight="false" outlineLevel="0" collapsed="false">
      <c r="A499" s="1" t="str">
        <f aca="false">A498</f>
        <v>West Bengal</v>
      </c>
      <c r="B499" s="4" t="n">
        <v>39</v>
      </c>
      <c r="C499" s="4" t="s">
        <v>530</v>
      </c>
      <c r="D499" s="4" t="n">
        <v>1583495</v>
      </c>
      <c r="E499" s="4" t="n">
        <v>700025</v>
      </c>
      <c r="F499" s="4" t="n">
        <v>629761</v>
      </c>
      <c r="G499" s="4" t="n">
        <v>3</v>
      </c>
      <c r="H499" s="4" t="n">
        <f aca="false">E499+F499+G499</f>
        <v>1329789</v>
      </c>
      <c r="I499" s="4" t="n">
        <v>0</v>
      </c>
      <c r="J499" s="4" t="n">
        <v>1943</v>
      </c>
      <c r="K499" s="4" t="n">
        <f aca="false">H499+J499</f>
        <v>1331732</v>
      </c>
      <c r="L499" s="4" t="n">
        <f aca="false">K499/D499*100</f>
        <v>84.1008023391296</v>
      </c>
      <c r="M499" s="4" t="n">
        <v>85.3534971736809</v>
      </c>
      <c r="N499" s="4" t="n">
        <v>82.6995226557935</v>
      </c>
      <c r="O499" s="4" t="n">
        <v>42.8571428571429</v>
      </c>
    </row>
    <row r="500" customFormat="false" ht="15" hidden="false" customHeight="false" outlineLevel="0" collapsed="false">
      <c r="A500" s="1" t="str">
        <f aca="false">A499</f>
        <v>West Bengal</v>
      </c>
      <c r="B500" s="4" t="n">
        <v>40</v>
      </c>
      <c r="C500" s="4" t="s">
        <v>531</v>
      </c>
      <c r="D500" s="4" t="n">
        <v>1469684</v>
      </c>
      <c r="E500" s="4" t="n">
        <v>633286</v>
      </c>
      <c r="F500" s="4" t="n">
        <v>509230</v>
      </c>
      <c r="G500" s="4" t="n">
        <v>2</v>
      </c>
      <c r="H500" s="4" t="n">
        <f aca="false">E500+F500+G500</f>
        <v>1142518</v>
      </c>
      <c r="I500" s="4" t="n">
        <v>0</v>
      </c>
      <c r="J500" s="4" t="n">
        <v>268</v>
      </c>
      <c r="K500" s="4" t="n">
        <f aca="false">H500+J500</f>
        <v>1142786</v>
      </c>
      <c r="L500" s="4" t="n">
        <f aca="false">K500/D500*100</f>
        <v>77.7572593836498</v>
      </c>
      <c r="M500" s="4" t="n">
        <v>80.0312903609007</v>
      </c>
      <c r="N500" s="4" t="n">
        <v>75.1599933877272</v>
      </c>
      <c r="O500" s="4" t="n">
        <v>14.2857142857143</v>
      </c>
    </row>
    <row r="501" customFormat="false" ht="15" hidden="false" customHeight="false" outlineLevel="0" collapsed="false">
      <c r="A501" s="1" t="str">
        <f aca="false">A500</f>
        <v>West Bengal</v>
      </c>
      <c r="B501" s="4" t="n">
        <v>41</v>
      </c>
      <c r="C501" s="4" t="s">
        <v>532</v>
      </c>
      <c r="D501" s="4" t="n">
        <v>1538420</v>
      </c>
      <c r="E501" s="4" t="n">
        <v>682036</v>
      </c>
      <c r="F501" s="4" t="n">
        <v>621426</v>
      </c>
      <c r="G501" s="4" t="n">
        <v>0</v>
      </c>
      <c r="H501" s="4" t="n">
        <f aca="false">E501+F501+G501</f>
        <v>1303462</v>
      </c>
      <c r="I501" s="4" t="n">
        <v>1</v>
      </c>
      <c r="J501" s="4" t="n">
        <v>1600</v>
      </c>
      <c r="K501" s="4" t="n">
        <f aca="false">H501+J501</f>
        <v>1305062</v>
      </c>
      <c r="L501" s="4" t="n">
        <f aca="false">K501/D501*100</f>
        <v>84.831320445652</v>
      </c>
      <c r="M501" s="4" t="n">
        <v>85.6236449392443</v>
      </c>
      <c r="N501" s="4" t="n">
        <v>84.0591825471545</v>
      </c>
      <c r="O501" s="4" t="n">
        <v>0</v>
      </c>
    </row>
    <row r="502" customFormat="false" ht="15" hidden="false" customHeight="false" outlineLevel="0" collapsed="false">
      <c r="A502" s="1" t="str">
        <f aca="false">A501</f>
        <v>West Bengal</v>
      </c>
      <c r="B502" s="4" t="n">
        <v>42</v>
      </c>
      <c r="C502" s="4" t="s">
        <v>533</v>
      </c>
      <c r="D502" s="4" t="n">
        <v>1495087</v>
      </c>
      <c r="E502" s="4" t="n">
        <v>669860</v>
      </c>
      <c r="F502" s="4" t="n">
        <v>605076</v>
      </c>
      <c r="G502" s="4" t="n">
        <v>0</v>
      </c>
      <c r="H502" s="4" t="n">
        <f aca="false">E502+F502+G502</f>
        <v>1274936</v>
      </c>
      <c r="I502" s="4" t="n">
        <v>0</v>
      </c>
      <c r="J502" s="4" t="n">
        <v>1012</v>
      </c>
      <c r="K502" s="4" t="n">
        <f aca="false">H502+J502</f>
        <v>1275948</v>
      </c>
      <c r="L502" s="4" t="n">
        <f aca="false">K502/D502*100</f>
        <v>85.3427258748153</v>
      </c>
      <c r="M502" s="4" t="n">
        <v>86.7102379593205</v>
      </c>
      <c r="N502" s="4" t="n">
        <v>83.8859405413499</v>
      </c>
      <c r="O502" s="4" t="n">
        <v>0</v>
      </c>
    </row>
    <row r="503" customFormat="false" ht="15" hidden="false" customHeight="false" outlineLevel="0" collapsed="false">
      <c r="A503" s="4" t="s">
        <v>534</v>
      </c>
      <c r="B503" s="4" t="n">
        <v>1</v>
      </c>
      <c r="C503" s="4" t="s">
        <v>535</v>
      </c>
      <c r="D503" s="4" t="n">
        <v>1523022</v>
      </c>
      <c r="E503" s="4" t="n">
        <v>610812</v>
      </c>
      <c r="F503" s="4" t="n">
        <v>576493</v>
      </c>
      <c r="G503" s="4" t="n">
        <v>0</v>
      </c>
      <c r="H503" s="4" t="n">
        <f aca="false">E503+F503+G503</f>
        <v>1187305</v>
      </c>
      <c r="I503" s="4" t="n">
        <v>0</v>
      </c>
      <c r="J503" s="4" t="n">
        <v>24</v>
      </c>
      <c r="K503" s="4" t="n">
        <f aca="false">H503+J503</f>
        <v>1187329</v>
      </c>
      <c r="L503" s="4" t="n">
        <f aca="false">K503/D503*100</f>
        <v>77.9587556844222</v>
      </c>
      <c r="M503" s="4" t="n">
        <v>79.22807327026</v>
      </c>
      <c r="N503" s="4" t="n">
        <v>76.6781275146808</v>
      </c>
      <c r="O503" s="4" t="n">
        <v>0</v>
      </c>
    </row>
    <row r="504" customFormat="false" ht="15" hidden="false" customHeight="false" outlineLevel="0" collapsed="false">
      <c r="A504" s="1" t="str">
        <f aca="false">A503</f>
        <v>Chhattisgarh</v>
      </c>
      <c r="B504" s="4" t="n">
        <v>2</v>
      </c>
      <c r="C504" s="4" t="s">
        <v>536</v>
      </c>
      <c r="D504" s="4" t="n">
        <v>1626949</v>
      </c>
      <c r="E504" s="4" t="n">
        <v>631470</v>
      </c>
      <c r="F504" s="4" t="n">
        <v>614665</v>
      </c>
      <c r="G504" s="4" t="n">
        <v>0</v>
      </c>
      <c r="H504" s="4" t="n">
        <f aca="false">E504+F504+G504</f>
        <v>1246135</v>
      </c>
      <c r="I504" s="4" t="n">
        <v>0</v>
      </c>
      <c r="J504" s="4" t="n">
        <v>84</v>
      </c>
      <c r="K504" s="4" t="n">
        <f aca="false">H504+J504</f>
        <v>1246219</v>
      </c>
      <c r="L504" s="4" t="n">
        <f aca="false">K504/D504*100</f>
        <v>76.5985289028728</v>
      </c>
      <c r="M504" s="4" t="n">
        <v>77.1810645015015</v>
      </c>
      <c r="N504" s="4" t="n">
        <v>76.1254438426775</v>
      </c>
      <c r="O504" s="4" t="n">
        <v>0</v>
      </c>
    </row>
    <row r="505" customFormat="false" ht="15" hidden="false" customHeight="false" outlineLevel="0" collapsed="false">
      <c r="A505" s="1" t="str">
        <f aca="false">A504</f>
        <v>Chhattisgarh</v>
      </c>
      <c r="B505" s="4" t="n">
        <v>3</v>
      </c>
      <c r="C505" s="4" t="s">
        <v>537</v>
      </c>
      <c r="D505" s="4" t="n">
        <v>1744201</v>
      </c>
      <c r="E505" s="4" t="n">
        <v>558932</v>
      </c>
      <c r="F505" s="4" t="n">
        <v>514393</v>
      </c>
      <c r="G505" s="4" t="n">
        <v>0</v>
      </c>
      <c r="H505" s="4" t="n">
        <f aca="false">E505+F505+G505</f>
        <v>1073325</v>
      </c>
      <c r="I505" s="4" t="n">
        <v>0</v>
      </c>
      <c r="J505" s="4" t="n">
        <v>42</v>
      </c>
      <c r="K505" s="4" t="n">
        <f aca="false">H505+J505</f>
        <v>1073367</v>
      </c>
      <c r="L505" s="4" t="n">
        <f aca="false">K505/D505*100</f>
        <v>61.5391804040933</v>
      </c>
      <c r="M505" s="4" t="n">
        <v>62.4139609882036</v>
      </c>
      <c r="N505" s="4" t="n">
        <v>60.6619125508422</v>
      </c>
      <c r="O505" s="4" t="n">
        <v>0</v>
      </c>
    </row>
    <row r="506" customFormat="false" ht="15" hidden="false" customHeight="false" outlineLevel="0" collapsed="false">
      <c r="A506" s="1" t="str">
        <f aca="false">A505</f>
        <v>Chhattisgarh</v>
      </c>
      <c r="B506" s="4" t="n">
        <v>4</v>
      </c>
      <c r="C506" s="4" t="s">
        <v>538</v>
      </c>
      <c r="D506" s="4" t="n">
        <v>1423729</v>
      </c>
      <c r="E506" s="4" t="n">
        <v>545187</v>
      </c>
      <c r="F506" s="4" t="n">
        <v>506882</v>
      </c>
      <c r="G506" s="4" t="n">
        <v>0</v>
      </c>
      <c r="H506" s="4" t="n">
        <f aca="false">E506+F506+G506</f>
        <v>1052069</v>
      </c>
      <c r="I506" s="4" t="n">
        <v>0</v>
      </c>
      <c r="J506" s="4" t="n">
        <v>770</v>
      </c>
      <c r="K506" s="4" t="n">
        <f aca="false">H506+J506</f>
        <v>1052839</v>
      </c>
      <c r="L506" s="4" t="n">
        <f aca="false">K506/D506*100</f>
        <v>73.9493962685314</v>
      </c>
      <c r="M506" s="4" t="n">
        <v>74.7137526192235</v>
      </c>
      <c r="N506" s="4" t="n">
        <v>73.0788195095226</v>
      </c>
      <c r="O506" s="4" t="n">
        <v>0</v>
      </c>
    </row>
    <row r="507" customFormat="false" ht="15" hidden="false" customHeight="false" outlineLevel="0" collapsed="false">
      <c r="A507" s="1" t="str">
        <f aca="false">A506</f>
        <v>Chhattisgarh</v>
      </c>
      <c r="B507" s="4" t="n">
        <v>5</v>
      </c>
      <c r="C507" s="4" t="s">
        <v>539</v>
      </c>
      <c r="D507" s="4" t="n">
        <v>1729229</v>
      </c>
      <c r="E507" s="4" t="n">
        <v>573078</v>
      </c>
      <c r="F507" s="4" t="n">
        <v>516910</v>
      </c>
      <c r="G507" s="4" t="n">
        <v>0</v>
      </c>
      <c r="H507" s="4" t="n">
        <f aca="false">E507+F507+G507</f>
        <v>1089988</v>
      </c>
      <c r="I507" s="4" t="n">
        <v>0</v>
      </c>
      <c r="J507" s="4" t="n">
        <v>595</v>
      </c>
      <c r="K507" s="4" t="n">
        <f aca="false">H507+J507</f>
        <v>1090583</v>
      </c>
      <c r="L507" s="4" t="n">
        <f aca="false">K507/D507*100</f>
        <v>63.0675867684384</v>
      </c>
      <c r="M507" s="4" t="n">
        <v>64.3263878521615</v>
      </c>
      <c r="N507" s="4" t="n">
        <v>61.7040934723131</v>
      </c>
      <c r="O507" s="4" t="n">
        <v>0</v>
      </c>
    </row>
    <row r="508" customFormat="false" ht="15" hidden="false" customHeight="false" outlineLevel="0" collapsed="false">
      <c r="A508" s="1" t="str">
        <f aca="false">A507</f>
        <v>Chhattisgarh</v>
      </c>
      <c r="B508" s="4" t="n">
        <v>6</v>
      </c>
      <c r="C508" s="4" t="s">
        <v>540</v>
      </c>
      <c r="D508" s="4" t="n">
        <v>1591373</v>
      </c>
      <c r="E508" s="4" t="n">
        <v>603428</v>
      </c>
      <c r="F508" s="4" t="n">
        <v>574874</v>
      </c>
      <c r="G508" s="4" t="n">
        <v>0</v>
      </c>
      <c r="H508" s="4" t="n">
        <f aca="false">E508+F508+G508</f>
        <v>1178302</v>
      </c>
      <c r="I508" s="4" t="n">
        <v>0</v>
      </c>
      <c r="J508" s="4" t="n">
        <v>3</v>
      </c>
      <c r="K508" s="4" t="n">
        <f aca="false">H508+J508</f>
        <v>1178305</v>
      </c>
      <c r="L508" s="4" t="n">
        <f aca="false">K508/D508*100</f>
        <v>74.0432946895542</v>
      </c>
      <c r="M508" s="4" t="n">
        <v>75.6913381718016</v>
      </c>
      <c r="N508" s="4" t="n">
        <v>72.4170422680698</v>
      </c>
      <c r="O508" s="4" t="n">
        <v>0</v>
      </c>
    </row>
    <row r="509" customFormat="false" ht="15" hidden="false" customHeight="false" outlineLevel="0" collapsed="false">
      <c r="A509" s="1" t="str">
        <f aca="false">A508</f>
        <v>Chhattisgarh</v>
      </c>
      <c r="B509" s="4" t="n">
        <v>7</v>
      </c>
      <c r="C509" s="4" t="s">
        <v>541</v>
      </c>
      <c r="D509" s="4" t="n">
        <v>1858922</v>
      </c>
      <c r="E509" s="4" t="n">
        <v>661165</v>
      </c>
      <c r="F509" s="4" t="n">
        <v>597929</v>
      </c>
      <c r="G509" s="4" t="n">
        <v>0</v>
      </c>
      <c r="H509" s="4" t="n">
        <f aca="false">E509+F509+G509</f>
        <v>1259094</v>
      </c>
      <c r="I509" s="4" t="n">
        <v>0</v>
      </c>
      <c r="J509" s="4" t="n">
        <v>48</v>
      </c>
      <c r="K509" s="4" t="n">
        <f aca="false">H509+J509</f>
        <v>1259142</v>
      </c>
      <c r="L509" s="4" t="n">
        <f aca="false">K509/D509*100</f>
        <v>67.7350636551722</v>
      </c>
      <c r="M509" s="4" t="n">
        <v>69.7374791288049</v>
      </c>
      <c r="N509" s="4" t="n">
        <v>65.7443406972806</v>
      </c>
      <c r="O509" s="4" t="n">
        <v>0</v>
      </c>
    </row>
    <row r="510" customFormat="false" ht="15" hidden="false" customHeight="false" outlineLevel="0" collapsed="false">
      <c r="A510" s="1" t="str">
        <f aca="false">A509</f>
        <v>Chhattisgarh</v>
      </c>
      <c r="B510" s="4" t="n">
        <v>8</v>
      </c>
      <c r="C510" s="4" t="s">
        <v>542</v>
      </c>
      <c r="D510" s="4" t="n">
        <v>1904460</v>
      </c>
      <c r="E510" s="4" t="n">
        <v>659154</v>
      </c>
      <c r="F510" s="4" t="n">
        <v>591606</v>
      </c>
      <c r="G510" s="4" t="n">
        <v>0</v>
      </c>
      <c r="H510" s="4" t="n">
        <f aca="false">E510+F510+G510</f>
        <v>1250760</v>
      </c>
      <c r="I510" s="4" t="n">
        <v>0</v>
      </c>
      <c r="J510" s="4" t="n">
        <v>112</v>
      </c>
      <c r="K510" s="4" t="n">
        <f aca="false">H510+J510</f>
        <v>1250872</v>
      </c>
      <c r="L510" s="4" t="n">
        <f aca="false">K510/D510*100</f>
        <v>65.6811904686893</v>
      </c>
      <c r="M510" s="4" t="n">
        <v>67.32195766142</v>
      </c>
      <c r="N510" s="4" t="n">
        <v>63.9952490824304</v>
      </c>
      <c r="O510" s="4" t="n">
        <v>0</v>
      </c>
    </row>
    <row r="511" customFormat="false" ht="15" hidden="false" customHeight="false" outlineLevel="0" collapsed="false">
      <c r="A511" s="1" t="str">
        <f aca="false">A510</f>
        <v>Chhattisgarh</v>
      </c>
      <c r="B511" s="4" t="n">
        <v>9</v>
      </c>
      <c r="C511" s="4" t="s">
        <v>543</v>
      </c>
      <c r="D511" s="4" t="n">
        <v>1516177</v>
      </c>
      <c r="E511" s="4" t="n">
        <v>576664</v>
      </c>
      <c r="F511" s="4" t="n">
        <v>554172</v>
      </c>
      <c r="G511" s="4" t="n">
        <v>0</v>
      </c>
      <c r="H511" s="4" t="n">
        <f aca="false">E511+F511+G511</f>
        <v>1130836</v>
      </c>
      <c r="I511" s="4" t="n">
        <v>0</v>
      </c>
      <c r="J511" s="4" t="n">
        <v>418</v>
      </c>
      <c r="K511" s="4" t="n">
        <f aca="false">H511+J511</f>
        <v>1131254</v>
      </c>
      <c r="L511" s="4" t="n">
        <f aca="false">K511/D511*100</f>
        <v>74.6122649268522</v>
      </c>
      <c r="M511" s="4" t="n">
        <v>76.1338941742779</v>
      </c>
      <c r="N511" s="4" t="n">
        <v>73.0739004077155</v>
      </c>
      <c r="O511" s="4" t="n">
        <v>0</v>
      </c>
    </row>
    <row r="512" customFormat="false" ht="15" hidden="false" customHeight="false" outlineLevel="0" collapsed="false">
      <c r="A512" s="1" t="str">
        <f aca="false">A511</f>
        <v>Chhattisgarh</v>
      </c>
      <c r="B512" s="4" t="n">
        <v>10</v>
      </c>
      <c r="C512" s="4" t="s">
        <v>544</v>
      </c>
      <c r="D512" s="4" t="n">
        <v>1298083</v>
      </c>
      <c r="E512" s="4" t="n">
        <v>386189</v>
      </c>
      <c r="F512" s="4" t="n">
        <v>383710</v>
      </c>
      <c r="G512" s="4" t="n">
        <v>0</v>
      </c>
      <c r="H512" s="4" t="n">
        <f aca="false">E512+F512+G512</f>
        <v>769899</v>
      </c>
      <c r="I512" s="4" t="n">
        <v>0</v>
      </c>
      <c r="J512" s="4" t="n">
        <v>73</v>
      </c>
      <c r="K512" s="4" t="n">
        <f aca="false">H512+J512</f>
        <v>769972</v>
      </c>
      <c r="L512" s="4" t="n">
        <f aca="false">K512/D512*100</f>
        <v>59.3160837943336</v>
      </c>
      <c r="M512" s="4" t="n">
        <v>61.0335219810699</v>
      </c>
      <c r="N512" s="4" t="n">
        <v>57.6801951785604</v>
      </c>
      <c r="O512" s="4" t="n">
        <v>0</v>
      </c>
    </row>
    <row r="513" customFormat="false" ht="15" hidden="false" customHeight="false" outlineLevel="0" collapsed="false">
      <c r="A513" s="1" t="str">
        <f aca="false">A512</f>
        <v>Chhattisgarh</v>
      </c>
      <c r="B513" s="4" t="n">
        <v>11</v>
      </c>
      <c r="C513" s="4" t="s">
        <v>545</v>
      </c>
      <c r="D513" s="4" t="n">
        <v>1448375</v>
      </c>
      <c r="E513" s="4" t="n">
        <v>515715</v>
      </c>
      <c r="F513" s="4" t="n">
        <v>500911</v>
      </c>
      <c r="G513" s="4" t="n">
        <v>0</v>
      </c>
      <c r="H513" s="4" t="n">
        <f aca="false">E513+F513+G513</f>
        <v>1016626</v>
      </c>
      <c r="I513" s="4" t="n">
        <v>0</v>
      </c>
      <c r="J513" s="4" t="n">
        <v>454</v>
      </c>
      <c r="K513" s="4" t="n">
        <f aca="false">H513+J513</f>
        <v>1017080</v>
      </c>
      <c r="L513" s="4" t="n">
        <f aca="false">K513/D513*100</f>
        <v>70.2221455078968</v>
      </c>
      <c r="M513" s="4" t="n">
        <v>71.4350025487024</v>
      </c>
      <c r="N513" s="4" t="n">
        <v>69.0748802696192</v>
      </c>
      <c r="O513" s="4" t="n">
        <v>0</v>
      </c>
    </row>
    <row r="514" customFormat="false" ht="15" hidden="false" customHeight="false" outlineLevel="0" collapsed="false">
      <c r="A514" s="4" t="s">
        <v>546</v>
      </c>
      <c r="B514" s="4" t="n">
        <v>1</v>
      </c>
      <c r="C514" s="4" t="s">
        <v>547</v>
      </c>
      <c r="D514" s="4" t="n">
        <v>1353467</v>
      </c>
      <c r="E514" s="4" t="n">
        <v>490824</v>
      </c>
      <c r="F514" s="4" t="n">
        <v>460471</v>
      </c>
      <c r="G514" s="4" t="n">
        <v>0</v>
      </c>
      <c r="H514" s="4" t="n">
        <f aca="false">E514+F514+G514</f>
        <v>951295</v>
      </c>
      <c r="I514" s="4" t="n">
        <v>0</v>
      </c>
      <c r="J514" s="4" t="n">
        <v>460</v>
      </c>
      <c r="K514" s="4" t="n">
        <f aca="false">H514+J514</f>
        <v>951755</v>
      </c>
      <c r="L514" s="4" t="n">
        <f aca="false">K514/D514*100</f>
        <v>70.3197787607677</v>
      </c>
      <c r="M514" s="4" t="n">
        <v>71.022130386088</v>
      </c>
      <c r="N514" s="4" t="n">
        <v>69.5651188648916</v>
      </c>
      <c r="O514" s="4" t="n">
        <v>0</v>
      </c>
    </row>
    <row r="515" customFormat="false" ht="15" hidden="false" customHeight="false" outlineLevel="0" collapsed="false">
      <c r="A515" s="1" t="str">
        <f aca="false">A514</f>
        <v>Jharkhand</v>
      </c>
      <c r="B515" s="4" t="n">
        <v>2</v>
      </c>
      <c r="C515" s="4" t="s">
        <v>548</v>
      </c>
      <c r="D515" s="4" t="n">
        <v>1273049</v>
      </c>
      <c r="E515" s="4" t="n">
        <v>466619</v>
      </c>
      <c r="F515" s="4" t="n">
        <v>435895</v>
      </c>
      <c r="G515" s="4" t="n">
        <v>0</v>
      </c>
      <c r="H515" s="4" t="n">
        <f aca="false">E515+F515+G515</f>
        <v>902514</v>
      </c>
      <c r="I515" s="4" t="n">
        <v>0</v>
      </c>
      <c r="J515" s="4" t="n">
        <v>548</v>
      </c>
      <c r="K515" s="4" t="n">
        <f aca="false">H515+J515</f>
        <v>903062</v>
      </c>
      <c r="L515" s="4" t="n">
        <f aca="false">K515/D515*100</f>
        <v>70.9369395836295</v>
      </c>
      <c r="M515" s="4" t="n">
        <v>70.9139872372178</v>
      </c>
      <c r="N515" s="4" t="n">
        <v>70.932713227744</v>
      </c>
      <c r="O515" s="4" t="n">
        <v>0</v>
      </c>
    </row>
    <row r="516" customFormat="false" ht="15" hidden="false" customHeight="false" outlineLevel="0" collapsed="false">
      <c r="A516" s="1" t="str">
        <f aca="false">A515</f>
        <v>Jharkhand</v>
      </c>
      <c r="B516" s="4" t="n">
        <v>3</v>
      </c>
      <c r="C516" s="4" t="s">
        <v>549</v>
      </c>
      <c r="D516" s="4" t="n">
        <v>1590771</v>
      </c>
      <c r="E516" s="4" t="n">
        <v>549854</v>
      </c>
      <c r="F516" s="4" t="n">
        <v>499254</v>
      </c>
      <c r="G516" s="4" t="n">
        <v>0</v>
      </c>
      <c r="H516" s="4" t="n">
        <f aca="false">E516+F516+G516</f>
        <v>1049108</v>
      </c>
      <c r="I516" s="4" t="n">
        <v>0</v>
      </c>
      <c r="J516" s="4" t="n">
        <v>534</v>
      </c>
      <c r="K516" s="4" t="n">
        <f aca="false">H516+J516</f>
        <v>1049642</v>
      </c>
      <c r="L516" s="4" t="n">
        <f aca="false">K516/D516*100</f>
        <v>65.9832244867426</v>
      </c>
      <c r="M516" s="4" t="n">
        <v>65.4699550042448</v>
      </c>
      <c r="N516" s="4" t="n">
        <v>66.5490986451685</v>
      </c>
      <c r="O516" s="4" t="n">
        <v>0</v>
      </c>
    </row>
    <row r="517" customFormat="false" ht="15" hidden="false" customHeight="false" outlineLevel="0" collapsed="false">
      <c r="A517" s="1" t="str">
        <f aca="false">A516</f>
        <v>Jharkhand</v>
      </c>
      <c r="B517" s="4" t="n">
        <v>4</v>
      </c>
      <c r="C517" s="4" t="s">
        <v>550</v>
      </c>
      <c r="D517" s="4" t="n">
        <v>1312562</v>
      </c>
      <c r="E517" s="4" t="n">
        <v>383214</v>
      </c>
      <c r="F517" s="4" t="n">
        <v>329747</v>
      </c>
      <c r="G517" s="4" t="n">
        <v>0</v>
      </c>
      <c r="H517" s="4" t="n">
        <f aca="false">E517+F517+G517</f>
        <v>712961</v>
      </c>
      <c r="I517" s="4" t="n">
        <v>0</v>
      </c>
      <c r="J517" s="4" t="n">
        <v>19</v>
      </c>
      <c r="K517" s="4" t="n">
        <f aca="false">H517+J517</f>
        <v>712980</v>
      </c>
      <c r="L517" s="4" t="n">
        <f aca="false">K517/D517*100</f>
        <v>54.3197197541907</v>
      </c>
      <c r="M517" s="4" t="n">
        <v>55.0740425629764</v>
      </c>
      <c r="N517" s="4" t="n">
        <v>53.5367015896364</v>
      </c>
      <c r="O517" s="4" t="n">
        <v>0</v>
      </c>
    </row>
    <row r="518" customFormat="false" ht="15" hidden="false" customHeight="false" outlineLevel="0" collapsed="false">
      <c r="A518" s="1" t="str">
        <f aca="false">A517</f>
        <v>Jharkhand</v>
      </c>
      <c r="B518" s="4" t="n">
        <v>5</v>
      </c>
      <c r="C518" s="4" t="s">
        <v>551</v>
      </c>
      <c r="D518" s="4" t="n">
        <v>1639645</v>
      </c>
      <c r="E518" s="4" t="n">
        <v>535308</v>
      </c>
      <c r="F518" s="4" t="n">
        <v>489593</v>
      </c>
      <c r="G518" s="4" t="n">
        <v>0</v>
      </c>
      <c r="H518" s="4" t="n">
        <f aca="false">E518+F518+G518</f>
        <v>1024901</v>
      </c>
      <c r="I518" s="4" t="n">
        <v>0</v>
      </c>
      <c r="J518" s="4" t="n">
        <v>38</v>
      </c>
      <c r="K518" s="4" t="n">
        <f aca="false">H518+J518</f>
        <v>1024939</v>
      </c>
      <c r="L518" s="4" t="n">
        <f aca="false">K518/D518*100</f>
        <v>62.5098115750666</v>
      </c>
      <c r="M518" s="4" t="n">
        <v>61.5495349647415</v>
      </c>
      <c r="N518" s="4" t="n">
        <v>63.6215968261518</v>
      </c>
      <c r="O518" s="4" t="n">
        <v>0</v>
      </c>
    </row>
    <row r="519" customFormat="false" ht="15" hidden="false" customHeight="false" outlineLevel="0" collapsed="false">
      <c r="A519" s="1" t="str">
        <f aca="false">A518</f>
        <v>Jharkhand</v>
      </c>
      <c r="B519" s="4" t="n">
        <v>6</v>
      </c>
      <c r="C519" s="4" t="s">
        <v>552</v>
      </c>
      <c r="D519" s="4" t="n">
        <v>1511644</v>
      </c>
      <c r="E519" s="4" t="n">
        <v>531982</v>
      </c>
      <c r="F519" s="4" t="n">
        <v>439241</v>
      </c>
      <c r="G519" s="4" t="n">
        <v>0</v>
      </c>
      <c r="H519" s="4" t="n">
        <f aca="false">E519+F519+G519</f>
        <v>971223</v>
      </c>
      <c r="I519" s="4" t="n">
        <v>0</v>
      </c>
      <c r="J519" s="4" t="n">
        <v>19</v>
      </c>
      <c r="K519" s="4" t="n">
        <f aca="false">H519+J519</f>
        <v>971242</v>
      </c>
      <c r="L519" s="4" t="n">
        <f aca="false">K519/D519*100</f>
        <v>64.2507098232124</v>
      </c>
      <c r="M519" s="4" t="n">
        <v>65.5671068767679</v>
      </c>
      <c r="N519" s="4" t="n">
        <v>62.7488935682673</v>
      </c>
      <c r="O519" s="4" t="n">
        <v>0</v>
      </c>
    </row>
    <row r="520" customFormat="false" ht="15" hidden="false" customHeight="false" outlineLevel="0" collapsed="false">
      <c r="A520" s="1" t="str">
        <f aca="false">A519</f>
        <v>Jharkhand</v>
      </c>
      <c r="B520" s="4" t="n">
        <v>7</v>
      </c>
      <c r="C520" s="4" t="s">
        <v>553</v>
      </c>
      <c r="D520" s="4" t="n">
        <v>1890021</v>
      </c>
      <c r="E520" s="4" t="n">
        <v>642557</v>
      </c>
      <c r="F520" s="4" t="n">
        <v>501332</v>
      </c>
      <c r="G520" s="4" t="n">
        <v>0</v>
      </c>
      <c r="H520" s="4" t="n">
        <f aca="false">E520+F520+G520</f>
        <v>1143889</v>
      </c>
      <c r="I520" s="4" t="n">
        <v>0</v>
      </c>
      <c r="J520" s="4" t="n">
        <v>56</v>
      </c>
      <c r="K520" s="4" t="n">
        <f aca="false">H520+J520</f>
        <v>1143945</v>
      </c>
      <c r="L520" s="4" t="n">
        <f aca="false">K520/D520*100</f>
        <v>60.5255179704353</v>
      </c>
      <c r="M520" s="4" t="n">
        <v>62.3444074992941</v>
      </c>
      <c r="N520" s="4" t="n">
        <v>58.4450845959876</v>
      </c>
      <c r="O520" s="4" t="n">
        <v>0</v>
      </c>
    </row>
    <row r="521" customFormat="false" ht="15" hidden="false" customHeight="false" outlineLevel="0" collapsed="false">
      <c r="A521" s="1" t="str">
        <f aca="false">A520</f>
        <v>Jharkhand</v>
      </c>
      <c r="B521" s="4" t="n">
        <v>8</v>
      </c>
      <c r="C521" s="4" t="s">
        <v>554</v>
      </c>
      <c r="D521" s="4" t="n">
        <v>1648459</v>
      </c>
      <c r="E521" s="4" t="n">
        <v>562384</v>
      </c>
      <c r="F521" s="4" t="n">
        <v>487221</v>
      </c>
      <c r="G521" s="4" t="n">
        <v>0</v>
      </c>
      <c r="H521" s="4" t="n">
        <f aca="false">E521+F521+G521</f>
        <v>1049605</v>
      </c>
      <c r="I521" s="4" t="n">
        <v>0</v>
      </c>
      <c r="J521" s="4" t="n">
        <v>182</v>
      </c>
      <c r="K521" s="4" t="n">
        <f aca="false">H521+J521</f>
        <v>1049787</v>
      </c>
      <c r="L521" s="4" t="n">
        <f aca="false">K521/D521*100</f>
        <v>63.6829305430102</v>
      </c>
      <c r="M521" s="4" t="n">
        <v>64.8354511518304</v>
      </c>
      <c r="N521" s="4" t="n">
        <v>62.4935546679596</v>
      </c>
      <c r="O521" s="4" t="n">
        <v>0</v>
      </c>
    </row>
    <row r="522" customFormat="false" ht="15" hidden="false" customHeight="false" outlineLevel="0" collapsed="false">
      <c r="A522" s="1" t="str">
        <f aca="false">A521</f>
        <v>Jharkhand</v>
      </c>
      <c r="B522" s="4" t="n">
        <v>9</v>
      </c>
      <c r="C522" s="4" t="s">
        <v>555</v>
      </c>
      <c r="D522" s="4" t="n">
        <v>1581665</v>
      </c>
      <c r="E522" s="4" t="n">
        <v>548089</v>
      </c>
      <c r="F522" s="4" t="n">
        <v>501033</v>
      </c>
      <c r="G522" s="4" t="n">
        <v>0</v>
      </c>
      <c r="H522" s="4" t="n">
        <f aca="false">E522+F522+G522</f>
        <v>1049122</v>
      </c>
      <c r="I522" s="4" t="n">
        <v>0</v>
      </c>
      <c r="J522" s="4" t="n">
        <v>42</v>
      </c>
      <c r="K522" s="4" t="n">
        <f aca="false">H522+J522</f>
        <v>1049164</v>
      </c>
      <c r="L522" s="4" t="n">
        <f aca="false">K522/D522*100</f>
        <v>66.3328833855463</v>
      </c>
      <c r="M522" s="4" t="n">
        <v>67.5882913667512</v>
      </c>
      <c r="N522" s="4" t="n">
        <v>65.090692254328</v>
      </c>
      <c r="O522" s="4" t="n">
        <v>0</v>
      </c>
    </row>
    <row r="523" customFormat="false" ht="15" hidden="false" customHeight="false" outlineLevel="0" collapsed="false">
      <c r="A523" s="1" t="str">
        <f aca="false">A522</f>
        <v>Jharkhand</v>
      </c>
      <c r="B523" s="4" t="n">
        <v>10</v>
      </c>
      <c r="C523" s="4" t="s">
        <v>556</v>
      </c>
      <c r="D523" s="4" t="n">
        <v>1152632</v>
      </c>
      <c r="E523" s="4" t="n">
        <v>403571</v>
      </c>
      <c r="F523" s="4" t="n">
        <v>391653</v>
      </c>
      <c r="G523" s="4" t="n">
        <v>0</v>
      </c>
      <c r="H523" s="4" t="n">
        <f aca="false">E523+F523+G523</f>
        <v>795224</v>
      </c>
      <c r="I523" s="4" t="n">
        <v>0</v>
      </c>
      <c r="J523" s="4" t="n">
        <v>128</v>
      </c>
      <c r="K523" s="4" t="n">
        <f aca="false">H523+J523</f>
        <v>795352</v>
      </c>
      <c r="L523" s="4" t="n">
        <f aca="false">K523/D523*100</f>
        <v>69.0031163458936</v>
      </c>
      <c r="M523" s="4" t="n">
        <v>69.2539224115001</v>
      </c>
      <c r="N523" s="4" t="n">
        <v>68.818989783977</v>
      </c>
      <c r="O523" s="4" t="n">
        <v>0</v>
      </c>
    </row>
    <row r="524" customFormat="false" ht="15" hidden="false" customHeight="false" outlineLevel="0" collapsed="false">
      <c r="A524" s="1" t="str">
        <f aca="false">A523</f>
        <v>Jharkhand</v>
      </c>
      <c r="B524" s="4" t="n">
        <v>11</v>
      </c>
      <c r="C524" s="4" t="s">
        <v>557</v>
      </c>
      <c r="D524" s="4" t="n">
        <v>1111856</v>
      </c>
      <c r="E524" s="4" t="n">
        <v>373314</v>
      </c>
      <c r="F524" s="4" t="n">
        <v>364162</v>
      </c>
      <c r="G524" s="4" t="n">
        <v>0</v>
      </c>
      <c r="H524" s="4" t="n">
        <f aca="false">E524+F524+G524</f>
        <v>737476</v>
      </c>
      <c r="I524" s="4" t="n">
        <v>0</v>
      </c>
      <c r="J524" s="4" t="n">
        <v>135</v>
      </c>
      <c r="K524" s="4" t="n">
        <f aca="false">H524+J524</f>
        <v>737611</v>
      </c>
      <c r="L524" s="4" t="n">
        <f aca="false">K524/D524*100</f>
        <v>66.3405153185305</v>
      </c>
      <c r="M524" s="4" t="n">
        <v>66.0960862598596</v>
      </c>
      <c r="N524" s="4" t="n">
        <v>66.682780606873</v>
      </c>
      <c r="O524" s="4" t="n">
        <v>0</v>
      </c>
    </row>
    <row r="525" customFormat="false" ht="15" hidden="false" customHeight="false" outlineLevel="0" collapsed="false">
      <c r="A525" s="1" t="str">
        <f aca="false">A524</f>
        <v>Jharkhand</v>
      </c>
      <c r="B525" s="4" t="n">
        <v>12</v>
      </c>
      <c r="C525" s="4" t="s">
        <v>558</v>
      </c>
      <c r="D525" s="4" t="n">
        <v>1119144</v>
      </c>
      <c r="E525" s="4" t="n">
        <v>333825</v>
      </c>
      <c r="F525" s="4" t="n">
        <v>317508</v>
      </c>
      <c r="G525" s="4" t="n">
        <v>0</v>
      </c>
      <c r="H525" s="4" t="n">
        <f aca="false">E525+F525+G525</f>
        <v>651333</v>
      </c>
      <c r="I525" s="4" t="n">
        <v>0</v>
      </c>
      <c r="J525" s="4" t="n">
        <v>306</v>
      </c>
      <c r="K525" s="4" t="n">
        <f aca="false">H525+J525</f>
        <v>651639</v>
      </c>
      <c r="L525" s="4" t="n">
        <f aca="false">K525/D525*100</f>
        <v>58.2265552958333</v>
      </c>
      <c r="M525" s="4" t="n">
        <v>57.8848804848233</v>
      </c>
      <c r="N525" s="4" t="n">
        <v>58.8498708115702</v>
      </c>
      <c r="O525" s="4" t="n">
        <v>0</v>
      </c>
    </row>
    <row r="526" customFormat="false" ht="15" hidden="false" customHeight="false" outlineLevel="0" collapsed="false">
      <c r="A526" s="1" t="str">
        <f aca="false">A525</f>
        <v>Jharkhand</v>
      </c>
      <c r="B526" s="4" t="n">
        <v>13</v>
      </c>
      <c r="C526" s="4" t="s">
        <v>559</v>
      </c>
      <c r="D526" s="4" t="n">
        <v>1645957</v>
      </c>
      <c r="E526" s="4" t="n">
        <v>523108</v>
      </c>
      <c r="F526" s="4" t="n">
        <v>453494</v>
      </c>
      <c r="G526" s="4" t="n">
        <v>0</v>
      </c>
      <c r="H526" s="4" t="n">
        <f aca="false">E526+F526+G526</f>
        <v>976602</v>
      </c>
      <c r="I526" s="4" t="n">
        <v>0</v>
      </c>
      <c r="J526" s="4" t="n">
        <v>1557</v>
      </c>
      <c r="K526" s="4" t="n">
        <f aca="false">H526+J526</f>
        <v>978159</v>
      </c>
      <c r="L526" s="4" t="n">
        <f aca="false">K526/D526*100</f>
        <v>59.4279801963235</v>
      </c>
      <c r="M526" s="4" t="n">
        <v>58.8276043552679</v>
      </c>
      <c r="N526" s="4" t="n">
        <v>59.9977244222414</v>
      </c>
      <c r="O526" s="4" t="n">
        <v>0</v>
      </c>
    </row>
    <row r="527" customFormat="false" ht="15" hidden="false" customHeight="false" outlineLevel="0" collapsed="false">
      <c r="A527" s="1" t="str">
        <f aca="false">A526</f>
        <v>Jharkhand</v>
      </c>
      <c r="B527" s="4" t="n">
        <v>14</v>
      </c>
      <c r="C527" s="4" t="s">
        <v>560</v>
      </c>
      <c r="D527" s="4" t="n">
        <v>1518923</v>
      </c>
      <c r="E527" s="4" t="n">
        <v>515052</v>
      </c>
      <c r="F527" s="4" t="n">
        <v>452228</v>
      </c>
      <c r="G527" s="4" t="n">
        <v>0</v>
      </c>
      <c r="H527" s="4" t="n">
        <f aca="false">E527+F527+G527</f>
        <v>967280</v>
      </c>
      <c r="I527" s="4" t="n">
        <v>0</v>
      </c>
      <c r="J527" s="4" t="n">
        <v>68</v>
      </c>
      <c r="K527" s="4" t="n">
        <f aca="false">H527+J527</f>
        <v>967348</v>
      </c>
      <c r="L527" s="4" t="n">
        <f aca="false">K527/D527*100</f>
        <v>63.6864409848294</v>
      </c>
      <c r="M527" s="4" t="n">
        <v>63.443253583566</v>
      </c>
      <c r="N527" s="4" t="n">
        <v>64.0393558509825</v>
      </c>
      <c r="O527" s="4" t="n">
        <v>0</v>
      </c>
    </row>
    <row r="528" customFormat="false" ht="15" hidden="false" customHeight="false" outlineLevel="0" collapsed="false">
      <c r="A528" s="4" t="s">
        <v>561</v>
      </c>
      <c r="B528" s="4" t="n">
        <v>1</v>
      </c>
      <c r="C528" s="4" t="s">
        <v>562</v>
      </c>
      <c r="D528" s="4" t="n">
        <v>1352614</v>
      </c>
      <c r="E528" s="4" t="n">
        <v>400041</v>
      </c>
      <c r="F528" s="4" t="n">
        <v>370827</v>
      </c>
      <c r="G528" s="4" t="n">
        <v>0</v>
      </c>
      <c r="H528" s="4" t="n">
        <f aca="false">E528+F528+G528</f>
        <v>770868</v>
      </c>
      <c r="I528" s="4" t="n">
        <v>0</v>
      </c>
      <c r="J528" s="4" t="n">
        <v>6077</v>
      </c>
      <c r="K528" s="4" t="n">
        <f aca="false">H528+J528</f>
        <v>776945</v>
      </c>
      <c r="L528" s="4" t="n">
        <f aca="false">K528/D528*100</f>
        <v>57.4402601185556</v>
      </c>
      <c r="M528" s="4" t="n">
        <v>56.8480692111149</v>
      </c>
      <c r="N528" s="4" t="n">
        <v>58.150515444518</v>
      </c>
      <c r="O528" s="4" t="n">
        <v>0</v>
      </c>
    </row>
    <row r="529" customFormat="false" ht="15" hidden="false" customHeight="false" outlineLevel="0" collapsed="false">
      <c r="A529" s="1" t="str">
        <f aca="false">A528</f>
        <v>Uttarakhand</v>
      </c>
      <c r="B529" s="4" t="n">
        <v>2</v>
      </c>
      <c r="C529" s="4" t="s">
        <v>563</v>
      </c>
      <c r="D529" s="4" t="n">
        <v>1267218</v>
      </c>
      <c r="E529" s="4" t="n">
        <v>320955</v>
      </c>
      <c r="F529" s="4" t="n">
        <v>357047</v>
      </c>
      <c r="G529" s="4" t="n">
        <v>0</v>
      </c>
      <c r="H529" s="4" t="n">
        <f aca="false">E529+F529+G529</f>
        <v>678002</v>
      </c>
      <c r="I529" s="4" t="n">
        <v>0</v>
      </c>
      <c r="J529" s="4" t="n">
        <v>6012</v>
      </c>
      <c r="K529" s="4" t="n">
        <f aca="false">H529+J529</f>
        <v>684014</v>
      </c>
      <c r="L529" s="4" t="n">
        <f aca="false">K529/D529*100</f>
        <v>53.9776107978264</v>
      </c>
      <c r="M529" s="4" t="n">
        <v>51.3299684300423</v>
      </c>
      <c r="N529" s="4" t="n">
        <v>59.0175938537217</v>
      </c>
      <c r="O529" s="4" t="n">
        <v>0</v>
      </c>
    </row>
    <row r="530" customFormat="false" ht="15" hidden="false" customHeight="false" outlineLevel="0" collapsed="false">
      <c r="A530" s="1" t="str">
        <f aca="false">A529</f>
        <v>Uttarakhand</v>
      </c>
      <c r="B530" s="4" t="n">
        <v>3</v>
      </c>
      <c r="C530" s="4" t="s">
        <v>564</v>
      </c>
      <c r="D530" s="4" t="n">
        <v>1253541</v>
      </c>
      <c r="E530" s="4" t="n">
        <v>316094</v>
      </c>
      <c r="F530" s="4" t="n">
        <v>339409</v>
      </c>
      <c r="G530" s="4" t="n">
        <v>1</v>
      </c>
      <c r="H530" s="4" t="n">
        <f aca="false">E530+F530+G530</f>
        <v>655504</v>
      </c>
      <c r="I530" s="4" t="n">
        <v>0</v>
      </c>
      <c r="J530" s="4" t="n">
        <v>1430</v>
      </c>
      <c r="K530" s="4" t="n">
        <f aca="false">H530+J530</f>
        <v>656934</v>
      </c>
      <c r="L530" s="4" t="n">
        <f aca="false">K530/D530*100</f>
        <v>52.4062635366534</v>
      </c>
      <c r="M530" s="4" t="n">
        <v>50.6562521033721</v>
      </c>
      <c r="N530" s="4" t="n">
        <v>55.9723410957029</v>
      </c>
      <c r="O530" s="4" t="n">
        <v>5.88235294117647</v>
      </c>
    </row>
    <row r="531" customFormat="false" ht="15" hidden="false" customHeight="false" outlineLevel="0" collapsed="false">
      <c r="A531" s="1" t="str">
        <f aca="false">A530</f>
        <v>Uttarakhand</v>
      </c>
      <c r="B531" s="4" t="n">
        <v>4</v>
      </c>
      <c r="C531" s="4" t="s">
        <v>565</v>
      </c>
      <c r="D531" s="4" t="n">
        <v>1610811</v>
      </c>
      <c r="E531" s="4" t="n">
        <v>589435</v>
      </c>
      <c r="F531" s="4" t="n">
        <v>509910</v>
      </c>
      <c r="G531" s="4" t="n">
        <v>0</v>
      </c>
      <c r="H531" s="4" t="n">
        <f aca="false">E531+F531+G531</f>
        <v>1099345</v>
      </c>
      <c r="I531" s="4" t="n">
        <v>0</v>
      </c>
      <c r="J531" s="4" t="n">
        <v>2589</v>
      </c>
      <c r="K531" s="4" t="n">
        <f aca="false">H531+J531</f>
        <v>1101934</v>
      </c>
      <c r="L531" s="4" t="n">
        <f aca="false">K531/D531*100</f>
        <v>68.4086463278435</v>
      </c>
      <c r="M531" s="4" t="n">
        <v>69.2235421229719</v>
      </c>
      <c r="N531" s="4" t="n">
        <v>67.9319335108757</v>
      </c>
      <c r="O531" s="4" t="n">
        <v>0</v>
      </c>
    </row>
    <row r="532" customFormat="false" ht="15" hidden="false" customHeight="false" outlineLevel="0" collapsed="false">
      <c r="A532" s="1" t="str">
        <f aca="false">A531</f>
        <v>Uttarakhand</v>
      </c>
      <c r="B532" s="4" t="n">
        <v>5</v>
      </c>
      <c r="C532" s="4" t="s">
        <v>566</v>
      </c>
      <c r="D532" s="4" t="n">
        <v>1642873</v>
      </c>
      <c r="E532" s="4" t="n">
        <v>637480</v>
      </c>
      <c r="F532" s="4" t="n">
        <v>535871</v>
      </c>
      <c r="G532" s="4" t="n">
        <v>1</v>
      </c>
      <c r="H532" s="4" t="n">
        <f aca="false">E532+F532+G532</f>
        <v>1173352</v>
      </c>
      <c r="I532" s="4" t="n">
        <v>0</v>
      </c>
      <c r="J532" s="4" t="n">
        <v>2382</v>
      </c>
      <c r="K532" s="4" t="n">
        <f aca="false">H532+J532</f>
        <v>1175734</v>
      </c>
      <c r="L532" s="4" t="n">
        <f aca="false">K532/D532*100</f>
        <v>71.5657266264647</v>
      </c>
      <c r="M532" s="4" t="n">
        <v>72.0484904378764</v>
      </c>
      <c r="N532" s="4" t="n">
        <v>71.1884423779475</v>
      </c>
      <c r="O532" s="4" t="n">
        <v>2.5</v>
      </c>
    </row>
    <row r="533" customFormat="false" ht="15" hidden="false" customHeight="false" outlineLevel="0" collapsed="false">
      <c r="A533" s="4" t="s">
        <v>567</v>
      </c>
      <c r="B533" s="4" t="n">
        <v>1</v>
      </c>
      <c r="C533" s="4" t="s">
        <v>567</v>
      </c>
      <c r="D533" s="4" t="n">
        <v>269360</v>
      </c>
      <c r="E533" s="4" t="n">
        <v>101129</v>
      </c>
      <c r="F533" s="4" t="n">
        <v>89084</v>
      </c>
      <c r="G533" s="4" t="n">
        <v>0</v>
      </c>
      <c r="H533" s="4" t="n">
        <f aca="false">E533+F533+G533</f>
        <v>190213</v>
      </c>
      <c r="I533" s="4" t="n">
        <v>0</v>
      </c>
      <c r="J533" s="4" t="n">
        <v>133</v>
      </c>
      <c r="K533" s="4" t="n">
        <f aca="false">H533+J533</f>
        <v>190346</v>
      </c>
      <c r="L533" s="4" t="n">
        <f aca="false">K533/D533*100</f>
        <v>70.6660231660232</v>
      </c>
      <c r="M533" s="4" t="n">
        <v>70.9612456407486</v>
      </c>
      <c r="N533" s="4" t="n">
        <v>70.4627967127275</v>
      </c>
      <c r="O533" s="4" t="n">
        <v>0</v>
      </c>
    </row>
    <row r="534" customFormat="false" ht="15" hidden="false" customHeight="false" outlineLevel="0" collapsed="false">
      <c r="A534" s="4" t="s">
        <v>568</v>
      </c>
      <c r="B534" s="4" t="n">
        <v>1</v>
      </c>
      <c r="C534" s="4" t="s">
        <v>568</v>
      </c>
      <c r="D534" s="4" t="n">
        <v>615205</v>
      </c>
      <c r="E534" s="4" t="n">
        <v>244907</v>
      </c>
      <c r="F534" s="4" t="n">
        <v>208415</v>
      </c>
      <c r="G534" s="4" t="n">
        <v>0</v>
      </c>
      <c r="H534" s="4" t="n">
        <f aca="false">E534+F534+G534</f>
        <v>453322</v>
      </c>
      <c r="I534" s="4" t="n">
        <v>2</v>
      </c>
      <c r="J534" s="4" t="n">
        <v>138</v>
      </c>
      <c r="K534" s="4" t="n">
        <f aca="false">H534+J534</f>
        <v>453460</v>
      </c>
      <c r="L534" s="4" t="n">
        <f aca="false">K534/D534*100</f>
        <v>73.7087637454182</v>
      </c>
      <c r="M534" s="4" t="n">
        <v>73.5703900410949</v>
      </c>
      <c r="N534" s="4" t="n">
        <v>74.1555803039306</v>
      </c>
      <c r="O534" s="4" t="n">
        <v>0</v>
      </c>
    </row>
    <row r="535" customFormat="false" ht="15" hidden="false" customHeight="false" outlineLevel="0" collapsed="false">
      <c r="A535" s="4" t="s">
        <v>569</v>
      </c>
      <c r="B535" s="4" t="n">
        <v>1</v>
      </c>
      <c r="C535" s="4" t="s">
        <v>570</v>
      </c>
      <c r="D535" s="4" t="n">
        <v>196597</v>
      </c>
      <c r="E535" s="4" t="n">
        <v>87792</v>
      </c>
      <c r="F535" s="4" t="n">
        <v>77494</v>
      </c>
      <c r="G535" s="4" t="n">
        <v>0</v>
      </c>
      <c r="H535" s="4" t="n">
        <f aca="false">E535+F535+G535</f>
        <v>165286</v>
      </c>
      <c r="I535" s="4" t="n">
        <v>0</v>
      </c>
      <c r="J535" s="4" t="n">
        <v>38</v>
      </c>
      <c r="K535" s="4" t="n">
        <f aca="false">H535+J535</f>
        <v>165324</v>
      </c>
      <c r="L535" s="4" t="n">
        <f aca="false">K535/D535*100</f>
        <v>84.0928396669329</v>
      </c>
      <c r="M535" s="4" t="n">
        <v>82.6736729101336</v>
      </c>
      <c r="N535" s="4" t="n">
        <v>85.7367291394685</v>
      </c>
      <c r="O535" s="4" t="n">
        <v>0</v>
      </c>
    </row>
    <row r="536" customFormat="false" ht="15" hidden="false" customHeight="false" outlineLevel="0" collapsed="false">
      <c r="A536" s="4" t="s">
        <v>571</v>
      </c>
      <c r="B536" s="4" t="n">
        <v>1</v>
      </c>
      <c r="C536" s="4" t="s">
        <v>571</v>
      </c>
      <c r="D536" s="4" t="n">
        <v>111818</v>
      </c>
      <c r="E536" s="4" t="n">
        <v>42355</v>
      </c>
      <c r="F536" s="4" t="n">
        <v>44873</v>
      </c>
      <c r="G536" s="4" t="n">
        <v>0</v>
      </c>
      <c r="H536" s="4" t="n">
        <f aca="false">E536+F536+G536</f>
        <v>87228</v>
      </c>
      <c r="I536" s="4" t="n">
        <v>0</v>
      </c>
      <c r="J536" s="4" t="n">
        <v>5</v>
      </c>
      <c r="K536" s="4" t="n">
        <f aca="false">H536+J536</f>
        <v>87233</v>
      </c>
      <c r="L536" s="4" t="n">
        <f aca="false">K536/D536*100</f>
        <v>78.0133788835429</v>
      </c>
      <c r="M536" s="4" t="n">
        <v>74.3031068540252</v>
      </c>
      <c r="N536" s="4" t="n">
        <v>81.8641223045207</v>
      </c>
      <c r="O536" s="4" t="n">
        <v>0</v>
      </c>
    </row>
    <row r="537" customFormat="false" ht="15" hidden="false" customHeight="false" outlineLevel="0" collapsed="false">
      <c r="A537" s="4" t="s">
        <v>572</v>
      </c>
      <c r="B537" s="4" t="n">
        <v>1</v>
      </c>
      <c r="C537" s="4" t="s">
        <v>573</v>
      </c>
      <c r="D537" s="4" t="n">
        <v>1447228</v>
      </c>
      <c r="E537" s="4" t="n">
        <v>548427</v>
      </c>
      <c r="F537" s="4" t="n">
        <v>431342</v>
      </c>
      <c r="G537" s="4" t="n">
        <v>21</v>
      </c>
      <c r="H537" s="4" t="n">
        <f aca="false">E537+F537+G537</f>
        <v>979790</v>
      </c>
      <c r="I537" s="4" t="n">
        <v>0</v>
      </c>
      <c r="J537" s="4" t="n">
        <v>2485</v>
      </c>
      <c r="K537" s="4" t="n">
        <f aca="false">H537+J537</f>
        <v>982275</v>
      </c>
      <c r="L537" s="4" t="n">
        <f aca="false">K537/D537*100</f>
        <v>67.8728576285147</v>
      </c>
      <c r="M537" s="4" t="n">
        <v>69.3168130497264</v>
      </c>
      <c r="N537" s="4" t="n">
        <v>65.775312185013</v>
      </c>
      <c r="O537" s="4" t="n">
        <v>36.2068965517241</v>
      </c>
    </row>
    <row r="538" customFormat="false" ht="15" hidden="false" customHeight="false" outlineLevel="0" collapsed="false">
      <c r="A538" s="1" t="str">
        <f aca="false">A537</f>
        <v>NCT OF Delhi</v>
      </c>
      <c r="B538" s="4" t="n">
        <v>2</v>
      </c>
      <c r="C538" s="4" t="s">
        <v>574</v>
      </c>
      <c r="D538" s="4" t="n">
        <v>1957707</v>
      </c>
      <c r="E538" s="4" t="n">
        <v>738979</v>
      </c>
      <c r="F538" s="4" t="n">
        <v>574789</v>
      </c>
      <c r="G538" s="4" t="n">
        <v>28</v>
      </c>
      <c r="H538" s="4" t="n">
        <f aca="false">E538+F538+G538</f>
        <v>1313796</v>
      </c>
      <c r="I538" s="4" t="n">
        <v>0</v>
      </c>
      <c r="J538" s="4" t="n">
        <v>4178</v>
      </c>
      <c r="K538" s="4" t="n">
        <f aca="false">H538+J538</f>
        <v>1317974</v>
      </c>
      <c r="L538" s="4" t="n">
        <f aca="false">K538/D538*100</f>
        <v>67.3223316870196</v>
      </c>
      <c r="M538" s="4" t="n">
        <v>68.4740689949129</v>
      </c>
      <c r="N538" s="4" t="n">
        <v>65.4596785490177</v>
      </c>
      <c r="O538" s="4" t="n">
        <v>23.728813559322</v>
      </c>
    </row>
    <row r="539" customFormat="false" ht="15" hidden="false" customHeight="false" outlineLevel="0" collapsed="false">
      <c r="A539" s="1" t="str">
        <f aca="false">A538</f>
        <v>NCT OF Delhi</v>
      </c>
      <c r="B539" s="4" t="n">
        <v>3</v>
      </c>
      <c r="C539" s="4" t="s">
        <v>575</v>
      </c>
      <c r="D539" s="4" t="n">
        <v>1829572</v>
      </c>
      <c r="E539" s="4" t="n">
        <v>676930</v>
      </c>
      <c r="F539" s="4" t="n">
        <v>518463</v>
      </c>
      <c r="G539" s="4" t="n">
        <v>35</v>
      </c>
      <c r="H539" s="4" t="n">
        <f aca="false">E539+F539+G539</f>
        <v>1195428</v>
      </c>
      <c r="I539" s="4" t="n">
        <v>0</v>
      </c>
      <c r="J539" s="4" t="n">
        <v>1303</v>
      </c>
      <c r="K539" s="4" t="n">
        <f aca="false">H539+J539</f>
        <v>1196731</v>
      </c>
      <c r="L539" s="4" t="n">
        <f aca="false">K539/D539*100</f>
        <v>65.4104347902132</v>
      </c>
      <c r="M539" s="4" t="n">
        <v>66.1666673183014</v>
      </c>
      <c r="N539" s="4" t="n">
        <v>64.3287863635574</v>
      </c>
      <c r="O539" s="4" t="n">
        <v>23.1788079470199</v>
      </c>
    </row>
    <row r="540" customFormat="false" ht="15" hidden="false" customHeight="false" outlineLevel="0" collapsed="false">
      <c r="A540" s="1" t="str">
        <f aca="false">A539</f>
        <v>NCT OF Delhi</v>
      </c>
      <c r="B540" s="4" t="n">
        <v>4</v>
      </c>
      <c r="C540" s="4" t="s">
        <v>576</v>
      </c>
      <c r="D540" s="4" t="n">
        <v>1490147</v>
      </c>
      <c r="E540" s="4" t="n">
        <v>545628</v>
      </c>
      <c r="F540" s="4" t="n">
        <v>422884</v>
      </c>
      <c r="G540" s="4" t="n">
        <v>7</v>
      </c>
      <c r="H540" s="4" t="n">
        <f aca="false">E540+F540+G540</f>
        <v>968519</v>
      </c>
      <c r="I540" s="4" t="n">
        <v>0</v>
      </c>
      <c r="J540" s="4" t="n">
        <v>1650</v>
      </c>
      <c r="K540" s="4" t="n">
        <f aca="false">H540+J540</f>
        <v>970169</v>
      </c>
      <c r="L540" s="4" t="n">
        <f aca="false">K540/D540*100</f>
        <v>65.1055902538474</v>
      </c>
      <c r="M540" s="4" t="n">
        <v>65.7568519317494</v>
      </c>
      <c r="N540" s="4" t="n">
        <v>64.1295924758235</v>
      </c>
      <c r="O540" s="4" t="n">
        <v>9.21052631578947</v>
      </c>
    </row>
    <row r="541" customFormat="false" ht="15" hidden="false" customHeight="false" outlineLevel="0" collapsed="false">
      <c r="A541" s="1" t="str">
        <f aca="false">A540</f>
        <v>NCT OF Delhi</v>
      </c>
      <c r="B541" s="4" t="n">
        <v>5</v>
      </c>
      <c r="C541" s="4" t="s">
        <v>577</v>
      </c>
      <c r="D541" s="4" t="n">
        <v>2194343</v>
      </c>
      <c r="E541" s="4" t="n">
        <v>757777</v>
      </c>
      <c r="F541" s="4" t="n">
        <v>595362</v>
      </c>
      <c r="G541" s="4" t="n">
        <v>42</v>
      </c>
      <c r="H541" s="4" t="n">
        <f aca="false">E541+F541+G541</f>
        <v>1353181</v>
      </c>
      <c r="I541" s="4" t="n">
        <v>0</v>
      </c>
      <c r="J541" s="4" t="n">
        <v>3223</v>
      </c>
      <c r="K541" s="4" t="n">
        <f aca="false">H541+J541</f>
        <v>1356404</v>
      </c>
      <c r="L541" s="4" t="n">
        <f aca="false">K541/D541*100</f>
        <v>61.8136727029457</v>
      </c>
      <c r="M541" s="4" t="n">
        <v>62.5286330089909</v>
      </c>
      <c r="N541" s="4" t="n">
        <v>60.6679608088898</v>
      </c>
      <c r="O541" s="4" t="n">
        <v>21.6494845360825</v>
      </c>
    </row>
    <row r="542" customFormat="false" ht="15" hidden="false" customHeight="false" outlineLevel="0" collapsed="false">
      <c r="A542" s="1" t="str">
        <f aca="false">A541</f>
        <v>NCT OF Delhi</v>
      </c>
      <c r="B542" s="4" t="n">
        <v>6</v>
      </c>
      <c r="C542" s="4" t="s">
        <v>578</v>
      </c>
      <c r="D542" s="4" t="n">
        <v>2039410</v>
      </c>
      <c r="E542" s="4" t="n">
        <v>742213</v>
      </c>
      <c r="F542" s="4" t="n">
        <v>603424</v>
      </c>
      <c r="G542" s="4" t="n">
        <v>8</v>
      </c>
      <c r="H542" s="4" t="n">
        <f aca="false">E542+F542+G542</f>
        <v>1345645</v>
      </c>
      <c r="I542" s="4" t="n">
        <v>0</v>
      </c>
      <c r="J542" s="4" t="n">
        <v>3099</v>
      </c>
      <c r="K542" s="4" t="n">
        <f aca="false">H542+J542</f>
        <v>1348744</v>
      </c>
      <c r="L542" s="4" t="n">
        <f aca="false">K542/D542*100</f>
        <v>66.1340289593559</v>
      </c>
      <c r="M542" s="4" t="n">
        <v>66.9870351400503</v>
      </c>
      <c r="N542" s="4" t="n">
        <v>64.8873012408101</v>
      </c>
      <c r="O542" s="4" t="n">
        <v>6.95652173913043</v>
      </c>
    </row>
    <row r="543" customFormat="false" ht="15" hidden="false" customHeight="false" outlineLevel="0" collapsed="false">
      <c r="A543" s="1" t="str">
        <f aca="false">A542</f>
        <v>NCT OF Delhi</v>
      </c>
      <c r="B543" s="4" t="n">
        <v>7</v>
      </c>
      <c r="C543" s="4" t="s">
        <v>579</v>
      </c>
      <c r="D543" s="4" t="n">
        <v>1752748</v>
      </c>
      <c r="E543" s="4" t="n">
        <v>639042</v>
      </c>
      <c r="F543" s="4" t="n">
        <v>462222</v>
      </c>
      <c r="G543" s="4" t="n">
        <v>13</v>
      </c>
      <c r="H543" s="4" t="n">
        <f aca="false">E543+F543+G543</f>
        <v>1101277</v>
      </c>
      <c r="I543" s="4" t="n">
        <v>0</v>
      </c>
      <c r="J543" s="4" t="n">
        <v>1572</v>
      </c>
      <c r="K543" s="4" t="n">
        <f aca="false">H543+J543</f>
        <v>1102849</v>
      </c>
      <c r="L543" s="4" t="n">
        <f aca="false">K543/D543*100</f>
        <v>62.9211386919283</v>
      </c>
      <c r="M543" s="4" t="n">
        <v>63.6007607703646</v>
      </c>
      <c r="N543" s="4" t="n">
        <v>61.8683292598373</v>
      </c>
      <c r="O543" s="4" t="n">
        <v>10.2362204724409</v>
      </c>
    </row>
    <row r="544" customFormat="false" ht="15" hidden="false" customHeight="false" outlineLevel="0" collapsed="false">
      <c r="A544" s="4" t="s">
        <v>580</v>
      </c>
      <c r="B544" s="4" t="n">
        <v>1</v>
      </c>
      <c r="C544" s="4" t="s">
        <v>580</v>
      </c>
      <c r="D544" s="4" t="n">
        <v>49922</v>
      </c>
      <c r="E544" s="4" t="n">
        <v>21584</v>
      </c>
      <c r="F544" s="4" t="n">
        <v>21655</v>
      </c>
      <c r="G544" s="4" t="n">
        <v>0</v>
      </c>
      <c r="H544" s="4" t="n">
        <f aca="false">E544+F544+G544</f>
        <v>43239</v>
      </c>
      <c r="I544" s="4" t="n">
        <v>0</v>
      </c>
      <c r="J544" s="4" t="n">
        <v>3</v>
      </c>
      <c r="K544" s="4" t="n">
        <f aca="false">H544+J544</f>
        <v>43242</v>
      </c>
      <c r="L544" s="4" t="n">
        <f aca="false">K544/D544*100</f>
        <v>86.6191258363046</v>
      </c>
      <c r="M544" s="4" t="n">
        <v>85.170862599637</v>
      </c>
      <c r="N544" s="4" t="n">
        <v>88.4635810286368</v>
      </c>
      <c r="O544" s="4" t="n">
        <v>0</v>
      </c>
    </row>
    <row r="545" customFormat="false" ht="15" hidden="false" customHeight="false" outlineLevel="0" collapsed="false">
      <c r="A545" s="4" t="s">
        <v>581</v>
      </c>
      <c r="B545" s="4" t="n">
        <v>1</v>
      </c>
      <c r="C545" s="4" t="s">
        <v>581</v>
      </c>
      <c r="D545" s="4" t="n">
        <v>901292</v>
      </c>
      <c r="E545" s="4" t="n">
        <v>351544</v>
      </c>
      <c r="F545" s="4" t="n">
        <v>388189</v>
      </c>
      <c r="G545" s="4" t="n">
        <v>17</v>
      </c>
      <c r="H545" s="4" t="n">
        <f aca="false">E545+F545+G545</f>
        <v>739750</v>
      </c>
      <c r="I545" s="4" t="n">
        <v>0</v>
      </c>
      <c r="J545" s="4" t="n">
        <v>303</v>
      </c>
      <c r="K545" s="4" t="n">
        <f aca="false">H545+J545</f>
        <v>740053</v>
      </c>
      <c r="L545" s="4" t="n">
        <f aca="false">K545/D545*100</f>
        <v>82.1102373037817</v>
      </c>
      <c r="M545" s="4" t="n">
        <v>81.4302127344155</v>
      </c>
      <c r="N545" s="4" t="n">
        <v>82.7444569021746</v>
      </c>
      <c r="O545" s="4" t="n">
        <v>85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XLS_XLSX_Editor/25.2.1.2.0$Windows_X86_64 LibreOffice_project/58af810e8b829847e901ba487452a406fab3370b</Application>
  <AppVersion>15.0000</AppVersion>
  <Company>KPMG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2017-02-21T06:57:52Z</dcterms:created>
  <dc:creator>Administrator</dc:creator>
  <dc:description/>
  <dc:language>en-IN</dc:language>
  <cp:lastModifiedBy/>
  <dcterms:modified xsi:type="dcterms:W3CDTF">2025-11-27T11:52:50Z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